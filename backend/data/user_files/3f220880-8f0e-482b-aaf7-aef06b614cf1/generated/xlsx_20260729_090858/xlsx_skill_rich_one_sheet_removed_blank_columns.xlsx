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xmlns:r="http://schemas.openxmlformats.org/officeDocument/2006/relationships" name="Sales Orde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\$#,##0.00"/>
    <numFmt numFmtId="166" formatCode="0.0%"/>
    <numFmt numFmtId="167" formatCode="0.0"/>
  </numFmts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color rgb="FFFFFFFF"/>
      <sz val="11"/>
      <scheme val="minor"/>
    </font>
    <font>
      <name val="等线"/>
      <charset val="134"/>
      <family val="2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0F3674"/>
        <bgColor indexed="64"/>
      </patternFill>
    </fill>
    <fill>
      <patternFill patternType="solid">
        <fgColor rgb="FFFDE9D9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166" fontId="0" fillId="3" borderId="1" applyAlignment="1" pivotButton="0" quotePrefix="0" xfId="0">
      <alignment vertical="center"/>
    </xf>
    <xf numFmtId="167" fontId="0" fillId="3" borderId="1" applyAlignment="1" pivotButton="0" quotePrefix="0" xfId="0">
      <alignment vertical="center"/>
    </xf>
    <xf numFmtId="0" fontId="0" fillId="0" borderId="0" pivotButton="0" quotePrefix="0" xfId="0"/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166" fontId="0" fillId="3" borderId="1" applyAlignment="1" pivotButton="0" quotePrefix="0" xfId="0">
      <alignment vertical="center"/>
    </xf>
    <xf numFmtId="167" fontId="0" fillId="3" borderId="1" applyAlignment="1" pivotButton="0" quotePrefix="0" xfId="0">
      <alignment vertical="center"/>
    </xf>
  </cellXfs>
  <cellStyles count="1">
    <cellStyle name="常规" xfId="0" builtinId="0"/>
  </cellStyles>
  <dxfs count="3">
    <dxf>
      <fill>
        <patternFill>
          <bgColor rgb="FFE6E6E6"/>
        </patternFill>
      </fill>
    </dxf>
    <dxf>
      <fill>
        <patternFill>
          <bgColor rgb="FFFFCCC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8" defaultRowHeight="13.9"/>
  <cols>
    <col width="19.46484375" bestFit="1" customWidth="1" style="11" min="1" max="1"/>
    <col width="13" bestFit="1" customWidth="1" style="11" min="2" max="2"/>
    <col width="9.1328125" bestFit="1" customWidth="1" style="11" min="3" max="3"/>
    <col width="11.796875" bestFit="1" customWidth="1" style="11" min="4" max="4"/>
    <col width="9.3984375" bestFit="1" customWidth="1" style="11" min="5" max="5"/>
    <col width="10.73046875" bestFit="1" customWidth="1" style="11" min="6" max="6"/>
    <col width="11.59765625" bestFit="1" customWidth="1" style="11" min="7" max="7"/>
    <col width="14.6640625" bestFit="1" customWidth="1" style="11" min="8" max="8"/>
    <col width="11.1328125" bestFit="1" customWidth="1" style="11" min="9" max="9"/>
    <col width="7.796875" bestFit="1" customWidth="1" style="11" min="10" max="10"/>
    <col width="11.796875" bestFit="1" customWidth="1" style="11" min="11" max="11"/>
    <col width="12.6640625" bestFit="1" customWidth="1" style="11" min="12" max="12"/>
    <col width="16.46484375" bestFit="1" customWidth="1" style="11" min="13" max="13"/>
    <col width="19.06640625" bestFit="1" customWidth="1" style="11" min="14" max="14"/>
    <col width="14.53125" bestFit="1" customWidth="1" style="11" min="15" max="15"/>
    <col width="11.33203125" bestFit="1" customWidth="1" style="11" min="16" max="16"/>
    <col width="8.33203125" bestFit="1" customWidth="1" style="11" min="17" max="17"/>
    <col width="13.73046875" bestFit="1" customWidth="1" style="11" min="18" max="18"/>
    <col width="16.86328125" bestFit="1" customWidth="1" style="11" min="19" max="19"/>
    <col width="9.1328125" bestFit="1" customWidth="1" style="11" min="20" max="20"/>
    <col width="18.73046875" bestFit="1" customWidth="1" style="11" min="21" max="21"/>
    <col width="19.265625" bestFit="1" customWidth="1" style="11" min="22" max="22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Month</t>
        </is>
      </c>
      <c r="D1" s="1" t="inlineStr">
        <is>
          <t>Customer</t>
        </is>
      </c>
      <c r="E1" s="1" t="inlineStr">
        <is>
          <t>Region</t>
        </is>
      </c>
      <c r="F1" s="1" t="inlineStr">
        <is>
          <t>Channel</t>
        </is>
      </c>
      <c r="G1" s="1" t="inlineStr">
        <is>
          <t>Sales Rep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Gross Revenue</t>
        </is>
      </c>
      <c r="K1" s="1" t="inlineStr">
        <is>
          <t>Discount Amount</t>
        </is>
      </c>
      <c r="L1" s="1" t="inlineStr">
        <is>
          <t>Net Revenue</t>
        </is>
      </c>
      <c r="M1" s="1" t="inlineStr">
        <is>
          <t>COGS</t>
        </is>
      </c>
      <c r="N1" s="1" t="inlineStr">
        <is>
          <t>Gross Profit</t>
        </is>
      </c>
      <c r="O1" s="1" t="inlineStr">
        <is>
          <t>Gross Margin %</t>
        </is>
      </c>
      <c r="P1" s="1" t="inlineStr">
        <is>
          <t>Status</t>
        </is>
      </c>
      <c r="Q1" s="1" t="inlineStr">
        <is>
          <t>Payment Method</t>
        </is>
      </c>
    </row>
    <row r="2">
      <c r="A2" s="2" t="inlineStr">
        <is>
          <t>ORD-0001</t>
        </is>
      </c>
      <c r="B2" s="12" t="n"/>
      <c r="C2" s="2">
        <f>TEXT(B2,"yyyy-mm")</f>
        <v/>
      </c>
      <c r="D2" s="2" t="inlineStr">
        <is>
          <t>Customer 02</t>
        </is>
      </c>
      <c r="E2" s="2" t="inlineStr">
        <is>
          <t>West</t>
        </is>
      </c>
      <c r="F2" s="2" t="inlineStr">
        <is>
          <t>Partner</t>
        </is>
      </c>
      <c r="G2" s="2" t="inlineStr">
        <is>
          <t>Priya Shah</t>
        </is>
      </c>
      <c r="H2" s="2" t="inlineStr">
        <is>
          <t>Packing Cubes</t>
        </is>
      </c>
      <c r="I2" s="2" t="inlineStr">
        <is>
          <t>Travel</t>
        </is>
      </c>
      <c r="J2" s="13">
        <f>J2*K2</f>
        <v/>
      </c>
      <c r="K2" s="13">
        <f>M2*L2</f>
        <v/>
      </c>
      <c r="L2" s="13">
        <f>M2-N2</f>
        <v/>
      </c>
      <c r="M2" s="13">
        <f>J2*P2</f>
        <v/>
      </c>
      <c r="N2" s="13">
        <f>O2-Q2</f>
        <v/>
      </c>
      <c r="O2" s="14">
        <f>IFERROR(R2/O2,0)</f>
        <v/>
      </c>
      <c r="P2" s="2" t="inlineStr">
        <is>
          <t>Returned</t>
        </is>
      </c>
      <c r="Q2" s="2" t="inlineStr">
        <is>
          <t>Credit Card</t>
        </is>
      </c>
    </row>
    <row r="3">
      <c r="A3" s="2" t="inlineStr">
        <is>
          <t>ORD-0002</t>
        </is>
      </c>
      <c r="B3" s="12" t="n"/>
      <c r="C3" s="2">
        <f>TEXT(B3,"yyyy-mm")</f>
        <v/>
      </c>
      <c r="D3" s="2" t="inlineStr">
        <is>
          <t>Customer 03</t>
        </is>
      </c>
      <c r="E3" s="2" t="inlineStr">
        <is>
          <t>North</t>
        </is>
      </c>
      <c r="F3" s="2" t="inlineStr">
        <is>
          <t>Direct Sales</t>
        </is>
      </c>
      <c r="G3" s="2" t="inlineStr">
        <is>
          <t>Sam Patel</t>
        </is>
      </c>
      <c r="H3" s="2" t="inlineStr">
        <is>
          <t>Monitor</t>
        </is>
      </c>
      <c r="I3" s="2" t="inlineStr">
        <is>
          <t>Workspace</t>
        </is>
      </c>
      <c r="J3" s="13">
        <f>J3*K3</f>
        <v/>
      </c>
      <c r="K3" s="13">
        <f>M3*L3</f>
        <v/>
      </c>
      <c r="L3" s="13">
        <f>M3-N3</f>
        <v/>
      </c>
      <c r="M3" s="13">
        <f>J3*P3</f>
        <v/>
      </c>
      <c r="N3" s="13">
        <f>O3-Q3</f>
        <v/>
      </c>
      <c r="O3" s="14">
        <f>IFERROR(R3/O3,0)</f>
        <v/>
      </c>
      <c r="P3" s="2" t="inlineStr">
        <is>
          <t>Cancelled</t>
        </is>
      </c>
      <c r="Q3" s="2" t="inlineStr">
        <is>
          <t>PayPal</t>
        </is>
      </c>
    </row>
    <row r="4">
      <c r="A4" s="2" t="inlineStr">
        <is>
          <t>ORD-0003</t>
        </is>
      </c>
      <c r="B4" s="12" t="n"/>
      <c r="C4" s="2">
        <f>TEXT(B4,"yyyy-mm")</f>
        <v/>
      </c>
      <c r="D4" s="2" t="inlineStr">
        <is>
          <t>Customer 04</t>
        </is>
      </c>
      <c r="E4" s="2" t="inlineStr">
        <is>
          <t>South</t>
        </is>
      </c>
      <c r="F4" s="2" t="inlineStr">
        <is>
          <t>Online</t>
        </is>
      </c>
      <c r="G4" s="2" t="inlineStr">
        <is>
          <t>Maya Chen</t>
        </is>
      </c>
      <c r="H4" s="2" t="inlineStr">
        <is>
          <t>Rain Jacket</t>
        </is>
      </c>
      <c r="I4" s="2" t="inlineStr">
        <is>
          <t>Outdoor</t>
        </is>
      </c>
      <c r="J4" s="13">
        <f>J4*K4</f>
        <v/>
      </c>
      <c r="K4" s="13">
        <f>M4*L4</f>
        <v/>
      </c>
      <c r="L4" s="13">
        <f>M4-N4</f>
        <v/>
      </c>
      <c r="M4" s="13">
        <f>J4*P4</f>
        <v/>
      </c>
      <c r="N4" s="13">
        <f>O4-Q4</f>
        <v/>
      </c>
      <c r="O4" s="14">
        <f>IFERROR(R4/O4,0)</f>
        <v/>
      </c>
      <c r="P4" s="2" t="inlineStr">
        <is>
          <t>Delivered</t>
        </is>
      </c>
      <c r="Q4" s="2" t="inlineStr">
        <is>
          <t>Bank Transfer</t>
        </is>
      </c>
    </row>
    <row r="5">
      <c r="A5" s="2" t="inlineStr">
        <is>
          <t>ORD-0004</t>
        </is>
      </c>
      <c r="B5" s="12" t="n"/>
      <c r="C5" s="2">
        <f>TEXT(B5,"yyyy-mm")</f>
        <v/>
      </c>
      <c r="D5" s="2" t="inlineStr">
        <is>
          <t>Customer 05</t>
        </is>
      </c>
      <c r="E5" s="2" t="inlineStr">
        <is>
          <t>Central</t>
        </is>
      </c>
      <c r="F5" s="2" t="inlineStr">
        <is>
          <t>Retail</t>
        </is>
      </c>
      <c r="G5" s="2" t="inlineStr">
        <is>
          <t>Jordan Lee</t>
        </is>
      </c>
      <c r="H5" s="2" t="inlineStr">
        <is>
          <t>Laptop Stand</t>
        </is>
      </c>
      <c r="I5" s="2" t="inlineStr">
        <is>
          <t>Workspace</t>
        </is>
      </c>
      <c r="J5" s="13">
        <f>J5*K5</f>
        <v/>
      </c>
      <c r="K5" s="13">
        <f>M5*L5</f>
        <v/>
      </c>
      <c r="L5" s="13">
        <f>M5-N5</f>
        <v/>
      </c>
      <c r="M5" s="13">
        <f>J5*P5</f>
        <v/>
      </c>
      <c r="N5" s="13">
        <f>O5-Q5</f>
        <v/>
      </c>
      <c r="O5" s="14">
        <f>IFERROR(R5/O5,0)</f>
        <v/>
      </c>
      <c r="P5" s="2" t="inlineStr">
        <is>
          <t>Delivered</t>
        </is>
      </c>
      <c r="Q5" s="2" t="inlineStr">
        <is>
          <t>Apple Pay</t>
        </is>
      </c>
    </row>
    <row r="6">
      <c r="A6" s="2" t="inlineStr">
        <is>
          <t>ORD-0005</t>
        </is>
      </c>
      <c r="B6" s="12" t="n"/>
      <c r="C6" s="2">
        <f>TEXT(B6,"yyyy-mm")</f>
        <v/>
      </c>
      <c r="D6" s="2" t="inlineStr">
        <is>
          <t>Customer 06</t>
        </is>
      </c>
      <c r="E6" s="2" t="inlineStr">
        <is>
          <t>East</t>
        </is>
      </c>
      <c r="F6" s="2" t="inlineStr">
        <is>
          <t>Partner</t>
        </is>
      </c>
      <c r="G6" s="2" t="inlineStr">
        <is>
          <t>Alex Rivera</t>
        </is>
      </c>
      <c r="H6" s="2" t="inlineStr">
        <is>
          <t>Fitness Band</t>
        </is>
      </c>
      <c r="I6" s="2" t="inlineStr">
        <is>
          <t>Fitness</t>
        </is>
      </c>
      <c r="J6" s="13">
        <f>J6*K6</f>
        <v/>
      </c>
      <c r="K6" s="13">
        <f>M6*L6</f>
        <v/>
      </c>
      <c r="L6" s="13">
        <f>M6-N6</f>
        <v/>
      </c>
      <c r="M6" s="13">
        <f>J6*P6</f>
        <v/>
      </c>
      <c r="N6" s="13">
        <f>O6-Q6</f>
        <v/>
      </c>
      <c r="O6" s="14">
        <f>IFERROR(R6/O6,0)</f>
        <v/>
      </c>
      <c r="P6" s="2" t="inlineStr">
        <is>
          <t>Delivered</t>
        </is>
      </c>
      <c r="Q6" s="2" t="inlineStr">
        <is>
          <t>Invoice</t>
        </is>
      </c>
    </row>
    <row r="7">
      <c r="A7" s="2" t="inlineStr">
        <is>
          <t>ORD-0006</t>
        </is>
      </c>
      <c r="B7" s="12" t="n"/>
      <c r="C7" s="2">
        <f>TEXT(B7,"yyyy-mm")</f>
        <v/>
      </c>
      <c r="D7" s="2" t="inlineStr">
        <is>
          <t>Customer 07</t>
        </is>
      </c>
      <c r="E7" s="2" t="inlineStr">
        <is>
          <t>West</t>
        </is>
      </c>
      <c r="F7" s="2" t="inlineStr">
        <is>
          <t>Direct Sales</t>
        </is>
      </c>
      <c r="G7" s="2" t="inlineStr">
        <is>
          <t>Priya Shah</t>
        </is>
      </c>
      <c r="H7" s="2" t="inlineStr">
        <is>
          <t>Travel Backpack</t>
        </is>
      </c>
      <c r="I7" s="2" t="inlineStr">
        <is>
          <t>Travel</t>
        </is>
      </c>
      <c r="J7" s="13">
        <f>J7*K7</f>
        <v/>
      </c>
      <c r="K7" s="13">
        <f>M7*L7</f>
        <v/>
      </c>
      <c r="L7" s="13">
        <f>M7-N7</f>
        <v/>
      </c>
      <c r="M7" s="13">
        <f>J7*P7</f>
        <v/>
      </c>
      <c r="N7" s="13">
        <f>O7-Q7</f>
        <v/>
      </c>
      <c r="O7" s="14">
        <f>IFERROR(R7/O7,0)</f>
        <v/>
      </c>
      <c r="P7" s="2" t="inlineStr">
        <is>
          <t>Pending</t>
        </is>
      </c>
      <c r="Q7" s="2" t="inlineStr">
        <is>
          <t>Credit Card</t>
        </is>
      </c>
    </row>
    <row r="8">
      <c r="A8" s="2" t="inlineStr">
        <is>
          <t>ORD-0007</t>
        </is>
      </c>
      <c r="B8" s="12" t="n"/>
      <c r="C8" s="2">
        <f>TEXT(B8,"yyyy-mm")</f>
        <v/>
      </c>
      <c r="D8" s="2" t="inlineStr">
        <is>
          <t>Customer 08</t>
        </is>
      </c>
      <c r="E8" s="2" t="inlineStr">
        <is>
          <t>North</t>
        </is>
      </c>
      <c r="F8" s="2" t="inlineStr">
        <is>
          <t>Online</t>
        </is>
      </c>
      <c r="G8" s="2" t="inlineStr">
        <is>
          <t>Sam Patel</t>
        </is>
      </c>
      <c r="H8" s="2" t="inlineStr">
        <is>
          <t>Mouse</t>
        </is>
      </c>
      <c r="I8" s="2" t="inlineStr">
        <is>
          <t>Workspace</t>
        </is>
      </c>
      <c r="J8" s="13">
        <f>J8*K8</f>
        <v/>
      </c>
      <c r="K8" s="13">
        <f>M8*L8</f>
        <v/>
      </c>
      <c r="L8" s="13">
        <f>M8-N8</f>
        <v/>
      </c>
      <c r="M8" s="13">
        <f>J8*P8</f>
        <v/>
      </c>
      <c r="N8" s="13">
        <f>O8-Q8</f>
        <v/>
      </c>
      <c r="O8" s="14">
        <f>IFERROR(R8/O8,0)</f>
        <v/>
      </c>
      <c r="P8" s="2" t="inlineStr">
        <is>
          <t>Returned</t>
        </is>
      </c>
      <c r="Q8" s="2" t="inlineStr">
        <is>
          <t>PayPal</t>
        </is>
      </c>
    </row>
    <row r="9">
      <c r="A9" s="2" t="inlineStr">
        <is>
          <t>ORD-0008</t>
        </is>
      </c>
      <c r="B9" s="12" t="n"/>
      <c r="C9" s="2">
        <f>TEXT(B9,"yyyy-mm")</f>
        <v/>
      </c>
      <c r="D9" s="2" t="inlineStr">
        <is>
          <t>Customer 09</t>
        </is>
      </c>
      <c r="E9" s="2" t="inlineStr">
        <is>
          <t>South</t>
        </is>
      </c>
      <c r="F9" s="2" t="inlineStr">
        <is>
          <t>Retail</t>
        </is>
      </c>
      <c r="G9" s="2" t="inlineStr">
        <is>
          <t>Maya Chen</t>
        </is>
      </c>
      <c r="H9" s="2" t="inlineStr">
        <is>
          <t>Insulated Bottle</t>
        </is>
      </c>
      <c r="I9" s="2" t="inlineStr">
        <is>
          <t>Outdoor</t>
        </is>
      </c>
      <c r="J9" s="13">
        <f>J9*K9</f>
        <v/>
      </c>
      <c r="K9" s="13">
        <f>M9*L9</f>
        <v/>
      </c>
      <c r="L9" s="13">
        <f>M9-N9</f>
        <v/>
      </c>
      <c r="M9" s="13">
        <f>J9*P9</f>
        <v/>
      </c>
      <c r="N9" s="13">
        <f>O9-Q9</f>
        <v/>
      </c>
      <c r="O9" s="14">
        <f>IFERROR(R9/O9,0)</f>
        <v/>
      </c>
      <c r="P9" s="2" t="inlineStr">
        <is>
          <t>Cancelled</t>
        </is>
      </c>
      <c r="Q9" s="2" t="inlineStr">
        <is>
          <t>Bank Transfer</t>
        </is>
      </c>
    </row>
    <row r="10">
      <c r="A10" s="2" t="inlineStr">
        <is>
          <t>ORD-0009</t>
        </is>
      </c>
      <c r="B10" s="12" t="n"/>
      <c r="C10" s="2">
        <f>TEXT(B10,"yyyy-mm")</f>
        <v/>
      </c>
      <c r="D10" s="2" t="inlineStr">
        <is>
          <t>Customer 10</t>
        </is>
      </c>
      <c r="E10" s="2" t="inlineStr">
        <is>
          <t>Central</t>
        </is>
      </c>
      <c r="F10" s="2" t="inlineStr">
        <is>
          <t>Partner</t>
        </is>
      </c>
      <c r="G10" s="2" t="inlineStr">
        <is>
          <t>Jordan Lee</t>
        </is>
      </c>
      <c r="H10" s="2" t="inlineStr">
        <is>
          <t>Docking Station</t>
        </is>
      </c>
      <c r="I10" s="2" t="inlineStr">
        <is>
          <t>Workspace</t>
        </is>
      </c>
      <c r="J10" s="13">
        <f>J10*K10</f>
        <v/>
      </c>
      <c r="K10" s="13">
        <f>M10*L10</f>
        <v/>
      </c>
      <c r="L10" s="13">
        <f>M10-N10</f>
        <v/>
      </c>
      <c r="M10" s="13">
        <f>J10*P10</f>
        <v/>
      </c>
      <c r="N10" s="13">
        <f>O10-Q10</f>
        <v/>
      </c>
      <c r="O10" s="14">
        <f>IFERROR(R10/O10,0)</f>
        <v/>
      </c>
      <c r="P10" s="2" t="inlineStr">
        <is>
          <t>Delivered</t>
        </is>
      </c>
      <c r="Q10" s="2" t="inlineStr">
        <is>
          <t>Apple Pay</t>
        </is>
      </c>
    </row>
    <row r="11">
      <c r="A11" s="2" t="inlineStr">
        <is>
          <t>ORD-0010</t>
        </is>
      </c>
      <c r="B11" s="12" t="n"/>
      <c r="C11" s="2">
        <f>TEXT(B11,"yyyy-mm")</f>
        <v/>
      </c>
      <c r="D11" s="2" t="inlineStr">
        <is>
          <t>Customer 11</t>
        </is>
      </c>
      <c r="E11" s="2" t="inlineStr">
        <is>
          <t>East</t>
        </is>
      </c>
      <c r="F11" s="2" t="inlineStr">
        <is>
          <t>Direct Sales</t>
        </is>
      </c>
      <c r="G11" s="2" t="inlineStr">
        <is>
          <t>Alex Rivera</t>
        </is>
      </c>
      <c r="H11" s="2" t="inlineStr">
        <is>
          <t>Yoga Mat</t>
        </is>
      </c>
      <c r="I11" s="2" t="inlineStr">
        <is>
          <t>Fitness</t>
        </is>
      </c>
      <c r="J11" s="13">
        <f>J11*K11</f>
        <v/>
      </c>
      <c r="K11" s="13">
        <f>M11*L11</f>
        <v/>
      </c>
      <c r="L11" s="13">
        <f>M11-N11</f>
        <v/>
      </c>
      <c r="M11" s="13">
        <f>J11*P11</f>
        <v/>
      </c>
      <c r="N11" s="13">
        <f>O11-Q11</f>
        <v/>
      </c>
      <c r="O11" s="14">
        <f>IFERROR(R11/O11,0)</f>
        <v/>
      </c>
      <c r="P11" s="2" t="inlineStr">
        <is>
          <t>Delivered</t>
        </is>
      </c>
      <c r="Q11" s="2" t="inlineStr">
        <is>
          <t>Invoice</t>
        </is>
      </c>
    </row>
    <row r="12">
      <c r="A12" s="2" t="inlineStr">
        <is>
          <t>ORD-0011</t>
        </is>
      </c>
      <c r="B12" s="12" t="n"/>
      <c r="C12" s="2">
        <f>TEXT(B12,"yyyy-mm")</f>
        <v/>
      </c>
      <c r="D12" s="2" t="inlineStr">
        <is>
          <t>Customer 12</t>
        </is>
      </c>
      <c r="E12" s="2" t="inlineStr">
        <is>
          <t>West</t>
        </is>
      </c>
      <c r="F12" s="2" t="inlineStr">
        <is>
          <t>Online</t>
        </is>
      </c>
      <c r="G12" s="2" t="inlineStr">
        <is>
          <t>Priya Shah</t>
        </is>
      </c>
      <c r="H12" s="2" t="inlineStr">
        <is>
          <t>Webcam</t>
        </is>
      </c>
      <c r="I12" s="2" t="inlineStr">
        <is>
          <t>Workspace</t>
        </is>
      </c>
      <c r="J12" s="13">
        <f>J12*K12</f>
        <v/>
      </c>
      <c r="K12" s="13">
        <f>M12*L12</f>
        <v/>
      </c>
      <c r="L12" s="13">
        <f>M12-N12</f>
        <v/>
      </c>
      <c r="M12" s="13">
        <f>J12*P12</f>
        <v/>
      </c>
      <c r="N12" s="13">
        <f>O12-Q12</f>
        <v/>
      </c>
      <c r="O12" s="14">
        <f>IFERROR(R12/O12,0)</f>
        <v/>
      </c>
      <c r="P12" s="2" t="inlineStr">
        <is>
          <t>Delivered</t>
        </is>
      </c>
      <c r="Q12" s="2" t="inlineStr">
        <is>
          <t>Credit Card</t>
        </is>
      </c>
    </row>
    <row r="13">
      <c r="A13" s="2" t="inlineStr">
        <is>
          <t>ORD-0012</t>
        </is>
      </c>
      <c r="B13" s="12" t="n"/>
      <c r="C13" s="2">
        <f>TEXT(B13,"yyyy-mm")</f>
        <v/>
      </c>
      <c r="D13" s="2" t="inlineStr">
        <is>
          <t>Customer 13</t>
        </is>
      </c>
      <c r="E13" s="2" t="inlineStr">
        <is>
          <t>North</t>
        </is>
      </c>
      <c r="F13" s="2" t="inlineStr">
        <is>
          <t>Retail</t>
        </is>
      </c>
      <c r="G13" s="2" t="inlineStr">
        <is>
          <t>Sam Patel</t>
        </is>
      </c>
      <c r="H13" s="2" t="inlineStr">
        <is>
          <t>Keyboard</t>
        </is>
      </c>
      <c r="I13" s="2" t="inlineStr">
        <is>
          <t>Workspace</t>
        </is>
      </c>
      <c r="J13" s="13">
        <f>J13*K13</f>
        <v/>
      </c>
      <c r="K13" s="13">
        <f>M13*L13</f>
        <v/>
      </c>
      <c r="L13" s="13">
        <f>M13-N13</f>
        <v/>
      </c>
      <c r="M13" s="13">
        <f>J13*P13</f>
        <v/>
      </c>
      <c r="N13" s="13">
        <f>O13-Q13</f>
        <v/>
      </c>
      <c r="O13" s="14">
        <f>IFERROR(R13/O13,0)</f>
        <v/>
      </c>
      <c r="P13" s="2" t="inlineStr">
        <is>
          <t>Pending</t>
        </is>
      </c>
      <c r="Q13" s="2" t="inlineStr">
        <is>
          <t>PayPal</t>
        </is>
      </c>
    </row>
    <row r="14">
      <c r="A14" s="2" t="inlineStr">
        <is>
          <t>ORD-0013</t>
        </is>
      </c>
      <c r="B14" s="12" t="n"/>
      <c r="C14" s="2">
        <f>TEXT(B14,"yyyy-mm")</f>
        <v/>
      </c>
      <c r="D14" s="2" t="inlineStr">
        <is>
          <t>Customer 14</t>
        </is>
      </c>
      <c r="E14" s="2" t="inlineStr">
        <is>
          <t>South</t>
        </is>
      </c>
      <c r="F14" s="2" t="inlineStr">
        <is>
          <t>Partner</t>
        </is>
      </c>
      <c r="G14" s="2" t="inlineStr">
        <is>
          <t>Maya Chen</t>
        </is>
      </c>
      <c r="H14" s="2" t="inlineStr">
        <is>
          <t>Packing Cubes</t>
        </is>
      </c>
      <c r="I14" s="2" t="inlineStr">
        <is>
          <t>Travel</t>
        </is>
      </c>
      <c r="J14" s="13">
        <f>J14*K14</f>
        <v/>
      </c>
      <c r="K14" s="13">
        <f>M14*L14</f>
        <v/>
      </c>
      <c r="L14" s="13">
        <f>M14-N14</f>
        <v/>
      </c>
      <c r="M14" s="13">
        <f>J14*P14</f>
        <v/>
      </c>
      <c r="N14" s="13">
        <f>O14-Q14</f>
        <v/>
      </c>
      <c r="O14" s="14">
        <f>IFERROR(R14/O14,0)</f>
        <v/>
      </c>
      <c r="P14" s="2" t="inlineStr">
        <is>
          <t>Returned</t>
        </is>
      </c>
      <c r="Q14" s="2" t="inlineStr">
        <is>
          <t>Bank Transfer</t>
        </is>
      </c>
    </row>
    <row r="15">
      <c r="A15" s="2" t="inlineStr">
        <is>
          <t>ORD-0014</t>
        </is>
      </c>
      <c r="B15" s="12" t="n"/>
      <c r="C15" s="2">
        <f>TEXT(B15,"yyyy-mm")</f>
        <v/>
      </c>
      <c r="D15" s="2" t="inlineStr">
        <is>
          <t>Customer 15</t>
        </is>
      </c>
      <c r="E15" s="2" t="inlineStr">
        <is>
          <t>Central</t>
        </is>
      </c>
      <c r="F15" s="2" t="inlineStr">
        <is>
          <t>Direct Sales</t>
        </is>
      </c>
      <c r="G15" s="2" t="inlineStr">
        <is>
          <t>Jordan Lee</t>
        </is>
      </c>
      <c r="H15" s="2" t="inlineStr">
        <is>
          <t>Monitor</t>
        </is>
      </c>
      <c r="I15" s="2" t="inlineStr">
        <is>
          <t>Workspace</t>
        </is>
      </c>
      <c r="J15" s="13">
        <f>J15*K15</f>
        <v/>
      </c>
      <c r="K15" s="13">
        <f>M15*L15</f>
        <v/>
      </c>
      <c r="L15" s="13">
        <f>M15-N15</f>
        <v/>
      </c>
      <c r="M15" s="13">
        <f>J15*P15</f>
        <v/>
      </c>
      <c r="N15" s="13">
        <f>O15-Q15</f>
        <v/>
      </c>
      <c r="O15" s="14">
        <f>IFERROR(R15/O15,0)</f>
        <v/>
      </c>
      <c r="P15" s="2" t="inlineStr">
        <is>
          <t>Cancelled</t>
        </is>
      </c>
      <c r="Q15" s="2" t="inlineStr">
        <is>
          <t>Apple Pay</t>
        </is>
      </c>
    </row>
    <row r="16">
      <c r="A16" s="2" t="inlineStr">
        <is>
          <t>ORD-0015</t>
        </is>
      </c>
      <c r="B16" s="12" t="n"/>
      <c r="C16" s="2">
        <f>TEXT(B16,"yyyy-mm")</f>
        <v/>
      </c>
      <c r="D16" s="2" t="inlineStr">
        <is>
          <t>Customer 16</t>
        </is>
      </c>
      <c r="E16" s="2" t="inlineStr">
        <is>
          <t>East</t>
        </is>
      </c>
      <c r="F16" s="2" t="inlineStr">
        <is>
          <t>Online</t>
        </is>
      </c>
      <c r="G16" s="2" t="inlineStr">
        <is>
          <t>Alex Rivera</t>
        </is>
      </c>
      <c r="H16" s="2" t="inlineStr">
        <is>
          <t>Rain Jacket</t>
        </is>
      </c>
      <c r="I16" s="2" t="inlineStr">
        <is>
          <t>Outdoor</t>
        </is>
      </c>
      <c r="J16" s="13">
        <f>J16*K16</f>
        <v/>
      </c>
      <c r="K16" s="13">
        <f>M16*L16</f>
        <v/>
      </c>
      <c r="L16" s="13">
        <f>M16-N16</f>
        <v/>
      </c>
      <c r="M16" s="13">
        <f>J16*P16</f>
        <v/>
      </c>
      <c r="N16" s="13">
        <f>O16-Q16</f>
        <v/>
      </c>
      <c r="O16" s="14">
        <f>IFERROR(R16/O16,0)</f>
        <v/>
      </c>
      <c r="P16" s="2" t="inlineStr">
        <is>
          <t>Delivered</t>
        </is>
      </c>
      <c r="Q16" s="2" t="inlineStr">
        <is>
          <t>Invoice</t>
        </is>
      </c>
    </row>
    <row r="17">
      <c r="A17" s="2" t="inlineStr">
        <is>
          <t>ORD-0016</t>
        </is>
      </c>
      <c r="B17" s="12" t="n"/>
      <c r="C17" s="2">
        <f>TEXT(B17,"yyyy-mm")</f>
        <v/>
      </c>
      <c r="D17" s="2" t="inlineStr">
        <is>
          <t>Customer 17</t>
        </is>
      </c>
      <c r="E17" s="2" t="inlineStr">
        <is>
          <t>West</t>
        </is>
      </c>
      <c r="F17" s="2" t="inlineStr">
        <is>
          <t>Retail</t>
        </is>
      </c>
      <c r="G17" s="2" t="inlineStr">
        <is>
          <t>Priya Shah</t>
        </is>
      </c>
      <c r="H17" s="2" t="inlineStr">
        <is>
          <t>Laptop Stand</t>
        </is>
      </c>
      <c r="I17" s="2" t="inlineStr">
        <is>
          <t>Workspace</t>
        </is>
      </c>
      <c r="J17" s="13">
        <f>J17*K17</f>
        <v/>
      </c>
      <c r="K17" s="13">
        <f>M17*L17</f>
        <v/>
      </c>
      <c r="L17" s="13">
        <f>M17-N17</f>
        <v/>
      </c>
      <c r="M17" s="13">
        <f>J17*P17</f>
        <v/>
      </c>
      <c r="N17" s="13">
        <f>O17-Q17</f>
        <v/>
      </c>
      <c r="O17" s="14">
        <f>IFERROR(R17/O17,0)</f>
        <v/>
      </c>
      <c r="P17" s="2" t="inlineStr">
        <is>
          <t>Delivered</t>
        </is>
      </c>
      <c r="Q17" s="2" t="inlineStr">
        <is>
          <t>Credit Card</t>
        </is>
      </c>
    </row>
    <row r="18">
      <c r="A18" s="2" t="inlineStr">
        <is>
          <t>ORD-0017</t>
        </is>
      </c>
      <c r="B18" s="12" t="n"/>
      <c r="C18" s="2">
        <f>TEXT(B18,"yyyy-mm")</f>
        <v/>
      </c>
      <c r="D18" s="2" t="inlineStr">
        <is>
          <t>Customer 18</t>
        </is>
      </c>
      <c r="E18" s="2" t="inlineStr">
        <is>
          <t>North</t>
        </is>
      </c>
      <c r="F18" s="2" t="inlineStr">
        <is>
          <t>Partner</t>
        </is>
      </c>
      <c r="G18" s="2" t="inlineStr">
        <is>
          <t>Sam Patel</t>
        </is>
      </c>
      <c r="H18" s="2" t="inlineStr">
        <is>
          <t>Fitness Band</t>
        </is>
      </c>
      <c r="I18" s="2" t="inlineStr">
        <is>
          <t>Fitness</t>
        </is>
      </c>
      <c r="J18" s="13">
        <f>J18*K18</f>
        <v/>
      </c>
      <c r="K18" s="13">
        <f>M18*L18</f>
        <v/>
      </c>
      <c r="L18" s="13">
        <f>M18-N18</f>
        <v/>
      </c>
      <c r="M18" s="13">
        <f>J18*P18</f>
        <v/>
      </c>
      <c r="N18" s="13">
        <f>O18-Q18</f>
        <v/>
      </c>
      <c r="O18" s="14">
        <f>IFERROR(R18/O18,0)</f>
        <v/>
      </c>
      <c r="P18" s="2" t="inlineStr">
        <is>
          <t>Delivered</t>
        </is>
      </c>
      <c r="Q18" s="2" t="inlineStr">
        <is>
          <t>PayPal</t>
        </is>
      </c>
    </row>
    <row r="19">
      <c r="A19" s="2" t="inlineStr">
        <is>
          <t>ORD-0018</t>
        </is>
      </c>
      <c r="B19" s="12" t="n"/>
      <c r="C19" s="2">
        <f>TEXT(B19,"yyyy-mm")</f>
        <v/>
      </c>
      <c r="D19" s="2" t="inlineStr">
        <is>
          <t>Customer 19</t>
        </is>
      </c>
      <c r="E19" s="2" t="inlineStr">
        <is>
          <t>South</t>
        </is>
      </c>
      <c r="F19" s="2" t="inlineStr">
        <is>
          <t>Direct Sales</t>
        </is>
      </c>
      <c r="G19" s="2" t="inlineStr">
        <is>
          <t>Maya Chen</t>
        </is>
      </c>
      <c r="H19" s="2" t="inlineStr">
        <is>
          <t>Travel Backpack</t>
        </is>
      </c>
      <c r="I19" s="2" t="inlineStr">
        <is>
          <t>Travel</t>
        </is>
      </c>
      <c r="J19" s="13">
        <f>J19*K19</f>
        <v/>
      </c>
      <c r="K19" s="13">
        <f>M19*L19</f>
        <v/>
      </c>
      <c r="L19" s="13">
        <f>M19-N19</f>
        <v/>
      </c>
      <c r="M19" s="13">
        <f>J19*P19</f>
        <v/>
      </c>
      <c r="N19" s="13">
        <f>O19-Q19</f>
        <v/>
      </c>
      <c r="O19" s="14">
        <f>IFERROR(R19/O19,0)</f>
        <v/>
      </c>
      <c r="P19" s="2" t="inlineStr">
        <is>
          <t>Pending</t>
        </is>
      </c>
      <c r="Q19" s="2" t="inlineStr">
        <is>
          <t>Bank Transfer</t>
        </is>
      </c>
    </row>
    <row r="20">
      <c r="A20" s="2" t="inlineStr">
        <is>
          <t>ORD-0019</t>
        </is>
      </c>
      <c r="B20" s="12" t="n"/>
      <c r="C20" s="2">
        <f>TEXT(B20,"yyyy-mm")</f>
        <v/>
      </c>
      <c r="D20" s="2" t="inlineStr">
        <is>
          <t>Customer 20</t>
        </is>
      </c>
      <c r="E20" s="2" t="inlineStr">
        <is>
          <t>Central</t>
        </is>
      </c>
      <c r="F20" s="2" t="inlineStr">
        <is>
          <t>Online</t>
        </is>
      </c>
      <c r="G20" s="2" t="inlineStr">
        <is>
          <t>Jordan Lee</t>
        </is>
      </c>
      <c r="H20" s="2" t="inlineStr">
        <is>
          <t>Mouse</t>
        </is>
      </c>
      <c r="I20" s="2" t="inlineStr">
        <is>
          <t>Workspace</t>
        </is>
      </c>
      <c r="J20" s="13">
        <f>J20*K20</f>
        <v/>
      </c>
      <c r="K20" s="13">
        <f>M20*L20</f>
        <v/>
      </c>
      <c r="L20" s="13">
        <f>M20-N20</f>
        <v/>
      </c>
      <c r="M20" s="13">
        <f>J20*P20</f>
        <v/>
      </c>
      <c r="N20" s="13">
        <f>O20-Q20</f>
        <v/>
      </c>
      <c r="O20" s="14">
        <f>IFERROR(R20/O20,0)</f>
        <v/>
      </c>
      <c r="P20" s="2" t="inlineStr">
        <is>
          <t>Returned</t>
        </is>
      </c>
      <c r="Q20" s="2" t="inlineStr">
        <is>
          <t>Apple Pay</t>
        </is>
      </c>
    </row>
    <row r="21">
      <c r="A21" s="2" t="inlineStr">
        <is>
          <t>ORD-0020</t>
        </is>
      </c>
      <c r="B21" s="12" t="n"/>
      <c r="C21" s="2">
        <f>TEXT(B21,"yyyy-mm")</f>
        <v/>
      </c>
      <c r="D21" s="2" t="inlineStr">
        <is>
          <t>Customer 21</t>
        </is>
      </c>
      <c r="E21" s="2" t="inlineStr">
        <is>
          <t>East</t>
        </is>
      </c>
      <c r="F21" s="2" t="inlineStr">
        <is>
          <t>Retail</t>
        </is>
      </c>
      <c r="G21" s="2" t="inlineStr">
        <is>
          <t>Alex Rivera</t>
        </is>
      </c>
      <c r="H21" s="2" t="inlineStr">
        <is>
          <t>Insulated Bottle</t>
        </is>
      </c>
      <c r="I21" s="2" t="inlineStr">
        <is>
          <t>Outdoor</t>
        </is>
      </c>
      <c r="J21" s="13">
        <f>J21*K21</f>
        <v/>
      </c>
      <c r="K21" s="13">
        <f>M21*L21</f>
        <v/>
      </c>
      <c r="L21" s="13">
        <f>M21-N21</f>
        <v/>
      </c>
      <c r="M21" s="13">
        <f>J21*P21</f>
        <v/>
      </c>
      <c r="N21" s="13">
        <f>O21-Q21</f>
        <v/>
      </c>
      <c r="O21" s="14">
        <f>IFERROR(R21/O21,0)</f>
        <v/>
      </c>
      <c r="P21" s="2" t="inlineStr">
        <is>
          <t>Cancelled</t>
        </is>
      </c>
      <c r="Q21" s="2" t="inlineStr">
        <is>
          <t>Invoice</t>
        </is>
      </c>
    </row>
    <row r="22">
      <c r="A22" s="2" t="inlineStr">
        <is>
          <t>ORD-0021</t>
        </is>
      </c>
      <c r="B22" s="12" t="n"/>
      <c r="C22" s="2">
        <f>TEXT(B22,"yyyy-mm")</f>
        <v/>
      </c>
      <c r="D22" s="2" t="inlineStr">
        <is>
          <t>Customer 22</t>
        </is>
      </c>
      <c r="E22" s="2" t="inlineStr">
        <is>
          <t>West</t>
        </is>
      </c>
      <c r="F22" s="2" t="inlineStr">
        <is>
          <t>Partner</t>
        </is>
      </c>
      <c r="G22" s="2" t="inlineStr">
        <is>
          <t>Priya Shah</t>
        </is>
      </c>
      <c r="H22" s="2" t="inlineStr">
        <is>
          <t>Docking Station</t>
        </is>
      </c>
      <c r="I22" s="2" t="inlineStr">
        <is>
          <t>Workspace</t>
        </is>
      </c>
      <c r="J22" s="13">
        <f>J22*K22</f>
        <v/>
      </c>
      <c r="K22" s="13">
        <f>M22*L22</f>
        <v/>
      </c>
      <c r="L22" s="13">
        <f>M22-N22</f>
        <v/>
      </c>
      <c r="M22" s="13">
        <f>J22*P22</f>
        <v/>
      </c>
      <c r="N22" s="13">
        <f>O22-Q22</f>
        <v/>
      </c>
      <c r="O22" s="14">
        <f>IFERROR(R22/O22,0)</f>
        <v/>
      </c>
      <c r="P22" s="2" t="inlineStr">
        <is>
          <t>Delivered</t>
        </is>
      </c>
      <c r="Q22" s="2" t="inlineStr">
        <is>
          <t>Credit Card</t>
        </is>
      </c>
    </row>
    <row r="23">
      <c r="A23" s="2" t="inlineStr">
        <is>
          <t>ORD-0022</t>
        </is>
      </c>
      <c r="B23" s="12" t="n"/>
      <c r="C23" s="2">
        <f>TEXT(B23,"yyyy-mm")</f>
        <v/>
      </c>
      <c r="D23" s="2" t="inlineStr">
        <is>
          <t>Customer 23</t>
        </is>
      </c>
      <c r="E23" s="2" t="inlineStr">
        <is>
          <t>North</t>
        </is>
      </c>
      <c r="F23" s="2" t="inlineStr">
        <is>
          <t>Direct Sales</t>
        </is>
      </c>
      <c r="G23" s="2" t="inlineStr">
        <is>
          <t>Sam Patel</t>
        </is>
      </c>
      <c r="H23" s="2" t="inlineStr">
        <is>
          <t>Yoga Mat</t>
        </is>
      </c>
      <c r="I23" s="2" t="inlineStr">
        <is>
          <t>Fitness</t>
        </is>
      </c>
      <c r="J23" s="13">
        <f>J23*K23</f>
        <v/>
      </c>
      <c r="K23" s="13">
        <f>M23*L23</f>
        <v/>
      </c>
      <c r="L23" s="13">
        <f>M23-N23</f>
        <v/>
      </c>
      <c r="M23" s="13">
        <f>J23*P23</f>
        <v/>
      </c>
      <c r="N23" s="13">
        <f>O23-Q23</f>
        <v/>
      </c>
      <c r="O23" s="14">
        <f>IFERROR(R23/O23,0)</f>
        <v/>
      </c>
      <c r="P23" s="2" t="inlineStr">
        <is>
          <t>Delivered</t>
        </is>
      </c>
      <c r="Q23" s="2" t="inlineStr">
        <is>
          <t>PayPal</t>
        </is>
      </c>
    </row>
    <row r="24">
      <c r="A24" s="2" t="inlineStr">
        <is>
          <t>ORD-0023</t>
        </is>
      </c>
      <c r="B24" s="12" t="n"/>
      <c r="C24" s="2">
        <f>TEXT(B24,"yyyy-mm")</f>
        <v/>
      </c>
      <c r="D24" s="2" t="inlineStr">
        <is>
          <t>Customer 24</t>
        </is>
      </c>
      <c r="E24" s="2" t="inlineStr">
        <is>
          <t>South</t>
        </is>
      </c>
      <c r="F24" s="2" t="inlineStr">
        <is>
          <t>Online</t>
        </is>
      </c>
      <c r="G24" s="2" t="inlineStr">
        <is>
          <t>Maya Chen</t>
        </is>
      </c>
      <c r="H24" s="2" t="inlineStr">
        <is>
          <t>Webcam</t>
        </is>
      </c>
      <c r="I24" s="2" t="inlineStr">
        <is>
          <t>Workspace</t>
        </is>
      </c>
      <c r="J24" s="13">
        <f>J24*K24</f>
        <v/>
      </c>
      <c r="K24" s="13">
        <f>M24*L24</f>
        <v/>
      </c>
      <c r="L24" s="13">
        <f>M24-N24</f>
        <v/>
      </c>
      <c r="M24" s="13">
        <f>J24*P24</f>
        <v/>
      </c>
      <c r="N24" s="13">
        <f>O24-Q24</f>
        <v/>
      </c>
      <c r="O24" s="14">
        <f>IFERROR(R24/O24,0)</f>
        <v/>
      </c>
      <c r="P24" s="2" t="inlineStr">
        <is>
          <t>Delivered</t>
        </is>
      </c>
      <c r="Q24" s="2" t="inlineStr">
        <is>
          <t>Bank Transfer</t>
        </is>
      </c>
    </row>
    <row r="25">
      <c r="A25" s="2" t="inlineStr">
        <is>
          <t>ORD-0024</t>
        </is>
      </c>
      <c r="B25" s="12" t="n"/>
      <c r="C25" s="2">
        <f>TEXT(B25,"yyyy-mm")</f>
        <v/>
      </c>
      <c r="D25" s="2" t="inlineStr">
        <is>
          <t>Customer 25</t>
        </is>
      </c>
      <c r="E25" s="2" t="inlineStr">
        <is>
          <t>Central</t>
        </is>
      </c>
      <c r="F25" s="2" t="inlineStr">
        <is>
          <t>Retail</t>
        </is>
      </c>
      <c r="G25" s="2" t="inlineStr">
        <is>
          <t>Jordan Lee</t>
        </is>
      </c>
      <c r="H25" s="2" t="inlineStr">
        <is>
          <t>Keyboard</t>
        </is>
      </c>
      <c r="I25" s="2" t="inlineStr">
        <is>
          <t>Workspace</t>
        </is>
      </c>
      <c r="J25" s="13">
        <f>J25*K25</f>
        <v/>
      </c>
      <c r="K25" s="13">
        <f>M25*L25</f>
        <v/>
      </c>
      <c r="L25" s="13">
        <f>M25-N25</f>
        <v/>
      </c>
      <c r="M25" s="13">
        <f>J25*P25</f>
        <v/>
      </c>
      <c r="N25" s="13">
        <f>O25-Q25</f>
        <v/>
      </c>
      <c r="O25" s="14">
        <f>IFERROR(R25/O25,0)</f>
        <v/>
      </c>
      <c r="P25" s="2" t="inlineStr">
        <is>
          <t>Pending</t>
        </is>
      </c>
      <c r="Q25" s="2" t="inlineStr">
        <is>
          <t>Apple Pay</t>
        </is>
      </c>
    </row>
    <row r="26">
      <c r="A26" s="2" t="inlineStr">
        <is>
          <t>ORD-0025</t>
        </is>
      </c>
      <c r="B26" s="12" t="n"/>
      <c r="C26" s="2">
        <f>TEXT(B26,"yyyy-mm")</f>
        <v/>
      </c>
      <c r="D26" s="2" t="inlineStr">
        <is>
          <t>Customer 26</t>
        </is>
      </c>
      <c r="E26" s="2" t="inlineStr">
        <is>
          <t>East</t>
        </is>
      </c>
      <c r="F26" s="2" t="inlineStr">
        <is>
          <t>Partner</t>
        </is>
      </c>
      <c r="G26" s="2" t="inlineStr">
        <is>
          <t>Alex Rivera</t>
        </is>
      </c>
      <c r="H26" s="2" t="inlineStr">
        <is>
          <t>Packing Cubes</t>
        </is>
      </c>
      <c r="I26" s="2" t="inlineStr">
        <is>
          <t>Travel</t>
        </is>
      </c>
      <c r="J26" s="13">
        <f>J26*K26</f>
        <v/>
      </c>
      <c r="K26" s="13">
        <f>M26*L26</f>
        <v/>
      </c>
      <c r="L26" s="13">
        <f>M26-N26</f>
        <v/>
      </c>
      <c r="M26" s="13">
        <f>J26*P26</f>
        <v/>
      </c>
      <c r="N26" s="13">
        <f>O26-Q26</f>
        <v/>
      </c>
      <c r="O26" s="14">
        <f>IFERROR(R26/O26,0)</f>
        <v/>
      </c>
      <c r="P26" s="2" t="inlineStr">
        <is>
          <t>Returned</t>
        </is>
      </c>
      <c r="Q26" s="2" t="inlineStr">
        <is>
          <t>Invoice</t>
        </is>
      </c>
    </row>
    <row r="27">
      <c r="A27" s="2" t="inlineStr">
        <is>
          <t>ORD-0026</t>
        </is>
      </c>
      <c r="B27" s="12" t="n"/>
      <c r="C27" s="2">
        <f>TEXT(B27,"yyyy-mm")</f>
        <v/>
      </c>
      <c r="D27" s="2" t="inlineStr">
        <is>
          <t>Customer 27</t>
        </is>
      </c>
      <c r="E27" s="2" t="inlineStr">
        <is>
          <t>West</t>
        </is>
      </c>
      <c r="F27" s="2" t="inlineStr">
        <is>
          <t>Direct Sales</t>
        </is>
      </c>
      <c r="G27" s="2" t="inlineStr">
        <is>
          <t>Priya Shah</t>
        </is>
      </c>
      <c r="H27" s="2" t="inlineStr">
        <is>
          <t>Monitor</t>
        </is>
      </c>
      <c r="I27" s="2" t="inlineStr">
        <is>
          <t>Workspace</t>
        </is>
      </c>
      <c r="J27" s="13">
        <f>J27*K27</f>
        <v/>
      </c>
      <c r="K27" s="13">
        <f>M27*L27</f>
        <v/>
      </c>
      <c r="L27" s="13">
        <f>M27-N27</f>
        <v/>
      </c>
      <c r="M27" s="13">
        <f>J27*P27</f>
        <v/>
      </c>
      <c r="N27" s="13">
        <f>O27-Q27</f>
        <v/>
      </c>
      <c r="O27" s="14">
        <f>IFERROR(R27/O27,0)</f>
        <v/>
      </c>
      <c r="P27" s="2" t="inlineStr">
        <is>
          <t>Cancelled</t>
        </is>
      </c>
      <c r="Q27" s="2" t="inlineStr">
        <is>
          <t>Credit Card</t>
        </is>
      </c>
    </row>
    <row r="28">
      <c r="A28" s="2" t="inlineStr">
        <is>
          <t>ORD-0027</t>
        </is>
      </c>
      <c r="B28" s="12" t="n"/>
      <c r="C28" s="2">
        <f>TEXT(B28,"yyyy-mm")</f>
        <v/>
      </c>
      <c r="D28" s="2" t="inlineStr">
        <is>
          <t>Customer 28</t>
        </is>
      </c>
      <c r="E28" s="2" t="inlineStr">
        <is>
          <t>North</t>
        </is>
      </c>
      <c r="F28" s="2" t="inlineStr">
        <is>
          <t>Online</t>
        </is>
      </c>
      <c r="G28" s="2" t="inlineStr">
        <is>
          <t>Sam Patel</t>
        </is>
      </c>
      <c r="H28" s="2" t="inlineStr">
        <is>
          <t>Rain Jacket</t>
        </is>
      </c>
      <c r="I28" s="2" t="inlineStr">
        <is>
          <t>Outdoor</t>
        </is>
      </c>
      <c r="J28" s="13">
        <f>J28*K28</f>
        <v/>
      </c>
      <c r="K28" s="13">
        <f>M28*L28</f>
        <v/>
      </c>
      <c r="L28" s="13">
        <f>M28-N28</f>
        <v/>
      </c>
      <c r="M28" s="13">
        <f>J28*P28</f>
        <v/>
      </c>
      <c r="N28" s="13">
        <f>O28-Q28</f>
        <v/>
      </c>
      <c r="O28" s="14">
        <f>IFERROR(R28/O28,0)</f>
        <v/>
      </c>
      <c r="P28" s="2" t="inlineStr">
        <is>
          <t>Delivered</t>
        </is>
      </c>
      <c r="Q28" s="2" t="inlineStr">
        <is>
          <t>PayPal</t>
        </is>
      </c>
    </row>
    <row r="29">
      <c r="A29" s="2" t="inlineStr">
        <is>
          <t>ORD-0028</t>
        </is>
      </c>
      <c r="B29" s="12" t="n"/>
      <c r="C29" s="2">
        <f>TEXT(B29,"yyyy-mm")</f>
        <v/>
      </c>
      <c r="D29" s="2" t="inlineStr">
        <is>
          <t>Customer 29</t>
        </is>
      </c>
      <c r="E29" s="2" t="inlineStr">
        <is>
          <t>South</t>
        </is>
      </c>
      <c r="F29" s="2" t="inlineStr">
        <is>
          <t>Retail</t>
        </is>
      </c>
      <c r="G29" s="2" t="inlineStr">
        <is>
          <t>Maya Chen</t>
        </is>
      </c>
      <c r="H29" s="2" t="inlineStr">
        <is>
          <t>Laptop Stand</t>
        </is>
      </c>
      <c r="I29" s="2" t="inlineStr">
        <is>
          <t>Workspace</t>
        </is>
      </c>
      <c r="J29" s="13">
        <f>J29*K29</f>
        <v/>
      </c>
      <c r="K29" s="13">
        <f>M29*L29</f>
        <v/>
      </c>
      <c r="L29" s="13">
        <f>M29-N29</f>
        <v/>
      </c>
      <c r="M29" s="13">
        <f>J29*P29</f>
        <v/>
      </c>
      <c r="N29" s="13">
        <f>O29-Q29</f>
        <v/>
      </c>
      <c r="O29" s="14">
        <f>IFERROR(R29/O29,0)</f>
        <v/>
      </c>
      <c r="P29" s="2" t="inlineStr">
        <is>
          <t>Delivered</t>
        </is>
      </c>
      <c r="Q29" s="2" t="inlineStr">
        <is>
          <t>Bank Transfer</t>
        </is>
      </c>
    </row>
    <row r="30">
      <c r="A30" s="2" t="inlineStr">
        <is>
          <t>ORD-0029</t>
        </is>
      </c>
      <c r="B30" s="12" t="n"/>
      <c r="C30" s="2">
        <f>TEXT(B30,"yyyy-mm")</f>
        <v/>
      </c>
      <c r="D30" s="2" t="inlineStr">
        <is>
          <t>Customer 30</t>
        </is>
      </c>
      <c r="E30" s="2" t="inlineStr">
        <is>
          <t>Central</t>
        </is>
      </c>
      <c r="F30" s="2" t="inlineStr">
        <is>
          <t>Partner</t>
        </is>
      </c>
      <c r="G30" s="2" t="inlineStr">
        <is>
          <t>Jordan Lee</t>
        </is>
      </c>
      <c r="H30" s="2" t="inlineStr">
        <is>
          <t>Fitness Band</t>
        </is>
      </c>
      <c r="I30" s="2" t="inlineStr">
        <is>
          <t>Fitness</t>
        </is>
      </c>
      <c r="J30" s="13">
        <f>J30*K30</f>
        <v/>
      </c>
      <c r="K30" s="13">
        <f>M30*L30</f>
        <v/>
      </c>
      <c r="L30" s="13">
        <f>M30-N30</f>
        <v/>
      </c>
      <c r="M30" s="13">
        <f>J30*P30</f>
        <v/>
      </c>
      <c r="N30" s="13">
        <f>O30-Q30</f>
        <v/>
      </c>
      <c r="O30" s="14">
        <f>IFERROR(R30/O30,0)</f>
        <v/>
      </c>
      <c r="P30" s="2" t="inlineStr">
        <is>
          <t>Delivered</t>
        </is>
      </c>
      <c r="Q30" s="2" t="inlineStr">
        <is>
          <t>Apple Pay</t>
        </is>
      </c>
    </row>
    <row r="31">
      <c r="A31" s="2" t="inlineStr">
        <is>
          <t>ORD-0030</t>
        </is>
      </c>
      <c r="B31" s="12" t="n"/>
      <c r="C31" s="2">
        <f>TEXT(B31,"yyyy-mm")</f>
        <v/>
      </c>
      <c r="D31" s="2" t="inlineStr">
        <is>
          <t>Customer 31</t>
        </is>
      </c>
      <c r="E31" s="2" t="inlineStr">
        <is>
          <t>East</t>
        </is>
      </c>
      <c r="F31" s="2" t="inlineStr">
        <is>
          <t>Direct Sales</t>
        </is>
      </c>
      <c r="G31" s="2" t="inlineStr">
        <is>
          <t>Alex Rivera</t>
        </is>
      </c>
      <c r="H31" s="2" t="inlineStr">
        <is>
          <t>Travel Backpack</t>
        </is>
      </c>
      <c r="I31" s="2" t="inlineStr">
        <is>
          <t>Travel</t>
        </is>
      </c>
      <c r="J31" s="13">
        <f>J31*K31</f>
        <v/>
      </c>
      <c r="K31" s="13">
        <f>M31*L31</f>
        <v/>
      </c>
      <c r="L31" s="13">
        <f>M31-N31</f>
        <v/>
      </c>
      <c r="M31" s="13">
        <f>J31*P31</f>
        <v/>
      </c>
      <c r="N31" s="13">
        <f>O31-Q31</f>
        <v/>
      </c>
      <c r="O31" s="14">
        <f>IFERROR(R31/O31,0)</f>
        <v/>
      </c>
      <c r="P31" s="2" t="inlineStr">
        <is>
          <t>Pending</t>
        </is>
      </c>
      <c r="Q31" s="2" t="inlineStr">
        <is>
          <t>Invoice</t>
        </is>
      </c>
    </row>
    <row r="32">
      <c r="A32" s="2" t="inlineStr">
        <is>
          <t>ORD-0031</t>
        </is>
      </c>
      <c r="B32" s="12" t="n"/>
      <c r="C32" s="2">
        <f>TEXT(B32,"yyyy-mm")</f>
        <v/>
      </c>
      <c r="D32" s="2" t="inlineStr">
        <is>
          <t>Customer 32</t>
        </is>
      </c>
      <c r="E32" s="2" t="inlineStr">
        <is>
          <t>West</t>
        </is>
      </c>
      <c r="F32" s="2" t="inlineStr">
        <is>
          <t>Online</t>
        </is>
      </c>
      <c r="G32" s="2" t="inlineStr">
        <is>
          <t>Priya Shah</t>
        </is>
      </c>
      <c r="H32" s="2" t="inlineStr">
        <is>
          <t>Mouse</t>
        </is>
      </c>
      <c r="I32" s="2" t="inlineStr">
        <is>
          <t>Workspace</t>
        </is>
      </c>
      <c r="J32" s="13">
        <f>J32*K32</f>
        <v/>
      </c>
      <c r="K32" s="13">
        <f>M32*L32</f>
        <v/>
      </c>
      <c r="L32" s="13">
        <f>M32-N32</f>
        <v/>
      </c>
      <c r="M32" s="13">
        <f>J32*P32</f>
        <v/>
      </c>
      <c r="N32" s="13">
        <f>O32-Q32</f>
        <v/>
      </c>
      <c r="O32" s="14">
        <f>IFERROR(R32/O32,0)</f>
        <v/>
      </c>
      <c r="P32" s="2" t="inlineStr">
        <is>
          <t>Returned</t>
        </is>
      </c>
      <c r="Q32" s="2" t="inlineStr">
        <is>
          <t>Credit Card</t>
        </is>
      </c>
    </row>
    <row r="33">
      <c r="A33" s="2" t="inlineStr">
        <is>
          <t>ORD-0032</t>
        </is>
      </c>
      <c r="B33" s="12" t="n"/>
      <c r="C33" s="2">
        <f>TEXT(B33,"yyyy-mm")</f>
        <v/>
      </c>
      <c r="D33" s="2" t="inlineStr">
        <is>
          <t>Customer 33</t>
        </is>
      </c>
      <c r="E33" s="2" t="inlineStr">
        <is>
          <t>North</t>
        </is>
      </c>
      <c r="F33" s="2" t="inlineStr">
        <is>
          <t>Retail</t>
        </is>
      </c>
      <c r="G33" s="2" t="inlineStr">
        <is>
          <t>Sam Patel</t>
        </is>
      </c>
      <c r="H33" s="2" t="inlineStr">
        <is>
          <t>Insulated Bottle</t>
        </is>
      </c>
      <c r="I33" s="2" t="inlineStr">
        <is>
          <t>Outdoor</t>
        </is>
      </c>
      <c r="J33" s="13">
        <f>J33*K33</f>
        <v/>
      </c>
      <c r="K33" s="13">
        <f>M33*L33</f>
        <v/>
      </c>
      <c r="L33" s="13">
        <f>M33-N33</f>
        <v/>
      </c>
      <c r="M33" s="13">
        <f>J33*P33</f>
        <v/>
      </c>
      <c r="N33" s="13">
        <f>O33-Q33</f>
        <v/>
      </c>
      <c r="O33" s="14">
        <f>IFERROR(R33/O33,0)</f>
        <v/>
      </c>
      <c r="P33" s="2" t="inlineStr">
        <is>
          <t>Cancelled</t>
        </is>
      </c>
      <c r="Q33" s="2" t="inlineStr">
        <is>
          <t>PayPal</t>
        </is>
      </c>
    </row>
    <row r="34">
      <c r="A34" s="2" t="inlineStr">
        <is>
          <t>ORD-0033</t>
        </is>
      </c>
      <c r="B34" s="12" t="n"/>
      <c r="C34" s="2">
        <f>TEXT(B34,"yyyy-mm")</f>
        <v/>
      </c>
      <c r="D34" s="2" t="inlineStr">
        <is>
          <t>Customer 34</t>
        </is>
      </c>
      <c r="E34" s="2" t="inlineStr">
        <is>
          <t>South</t>
        </is>
      </c>
      <c r="F34" s="2" t="inlineStr">
        <is>
          <t>Partner</t>
        </is>
      </c>
      <c r="G34" s="2" t="inlineStr">
        <is>
          <t>Maya Chen</t>
        </is>
      </c>
      <c r="H34" s="2" t="inlineStr">
        <is>
          <t>Docking Station</t>
        </is>
      </c>
      <c r="I34" s="2" t="inlineStr">
        <is>
          <t>Workspace</t>
        </is>
      </c>
      <c r="J34" s="13">
        <f>J34*K34</f>
        <v/>
      </c>
      <c r="K34" s="13">
        <f>M34*L34</f>
        <v/>
      </c>
      <c r="L34" s="13">
        <f>M34-N34</f>
        <v/>
      </c>
      <c r="M34" s="13">
        <f>J34*P34</f>
        <v/>
      </c>
      <c r="N34" s="13">
        <f>O34-Q34</f>
        <v/>
      </c>
      <c r="O34" s="14">
        <f>IFERROR(R34/O34,0)</f>
        <v/>
      </c>
      <c r="P34" s="2" t="inlineStr">
        <is>
          <t>Delivered</t>
        </is>
      </c>
      <c r="Q34" s="2" t="inlineStr">
        <is>
          <t>Bank Transfer</t>
        </is>
      </c>
    </row>
    <row r="35">
      <c r="A35" s="2" t="inlineStr">
        <is>
          <t>ORD-0034</t>
        </is>
      </c>
      <c r="B35" s="12" t="n"/>
      <c r="C35" s="2">
        <f>TEXT(B35,"yyyy-mm")</f>
        <v/>
      </c>
      <c r="D35" s="2" t="inlineStr">
        <is>
          <t>Customer 35</t>
        </is>
      </c>
      <c r="E35" s="2" t="inlineStr">
        <is>
          <t>Central</t>
        </is>
      </c>
      <c r="F35" s="2" t="inlineStr">
        <is>
          <t>Direct Sales</t>
        </is>
      </c>
      <c r="G35" s="2" t="inlineStr">
        <is>
          <t>Jordan Lee</t>
        </is>
      </c>
      <c r="H35" s="2" t="inlineStr">
        <is>
          <t>Yoga Mat</t>
        </is>
      </c>
      <c r="I35" s="2" t="inlineStr">
        <is>
          <t>Fitness</t>
        </is>
      </c>
      <c r="J35" s="13">
        <f>J35*K35</f>
        <v/>
      </c>
      <c r="K35" s="13">
        <f>M35*L35</f>
        <v/>
      </c>
      <c r="L35" s="13">
        <f>M35-N35</f>
        <v/>
      </c>
      <c r="M35" s="13">
        <f>J35*P35</f>
        <v/>
      </c>
      <c r="N35" s="13">
        <f>O35-Q35</f>
        <v/>
      </c>
      <c r="O35" s="14">
        <f>IFERROR(R35/O35,0)</f>
        <v/>
      </c>
      <c r="P35" s="2" t="inlineStr">
        <is>
          <t>Delivered</t>
        </is>
      </c>
      <c r="Q35" s="2" t="inlineStr">
        <is>
          <t>Apple Pay</t>
        </is>
      </c>
    </row>
    <row r="36">
      <c r="A36" s="2" t="inlineStr">
        <is>
          <t>ORD-0035</t>
        </is>
      </c>
      <c r="B36" s="12" t="n"/>
      <c r="C36" s="2">
        <f>TEXT(B36,"yyyy-mm")</f>
        <v/>
      </c>
      <c r="D36" s="2" t="inlineStr">
        <is>
          <t>Customer 01</t>
        </is>
      </c>
      <c r="E36" s="2" t="inlineStr">
        <is>
          <t>East</t>
        </is>
      </c>
      <c r="F36" s="2" t="inlineStr">
        <is>
          <t>Online</t>
        </is>
      </c>
      <c r="G36" s="2" t="inlineStr">
        <is>
          <t>Alex Rivera</t>
        </is>
      </c>
      <c r="H36" s="2" t="inlineStr">
        <is>
          <t>Webcam</t>
        </is>
      </c>
      <c r="I36" s="2" t="inlineStr">
        <is>
          <t>Workspace</t>
        </is>
      </c>
      <c r="J36" s="13">
        <f>J36*K36</f>
        <v/>
      </c>
      <c r="K36" s="13">
        <f>M36*L36</f>
        <v/>
      </c>
      <c r="L36" s="13">
        <f>M36-N36</f>
        <v/>
      </c>
      <c r="M36" s="13">
        <f>J36*P36</f>
        <v/>
      </c>
      <c r="N36" s="13">
        <f>O36-Q36</f>
        <v/>
      </c>
      <c r="O36" s="14">
        <f>IFERROR(R36/O36,0)</f>
        <v/>
      </c>
      <c r="P36" s="2" t="inlineStr">
        <is>
          <t>Delivered</t>
        </is>
      </c>
      <c r="Q36" s="2" t="inlineStr">
        <is>
          <t>Invoice</t>
        </is>
      </c>
    </row>
    <row r="37">
      <c r="A37" s="2" t="inlineStr">
        <is>
          <t>ORD-0036</t>
        </is>
      </c>
      <c r="B37" s="12" t="n"/>
      <c r="C37" s="2">
        <f>TEXT(B37,"yyyy-mm")</f>
        <v/>
      </c>
      <c r="D37" s="2" t="inlineStr">
        <is>
          <t>Customer 02</t>
        </is>
      </c>
      <c r="E37" s="2" t="inlineStr">
        <is>
          <t>West</t>
        </is>
      </c>
      <c r="F37" s="2" t="inlineStr">
        <is>
          <t>Retail</t>
        </is>
      </c>
      <c r="G37" s="2" t="inlineStr">
        <is>
          <t>Priya Shah</t>
        </is>
      </c>
      <c r="H37" s="2" t="inlineStr">
        <is>
          <t>Keyboard</t>
        </is>
      </c>
      <c r="I37" s="2" t="inlineStr">
        <is>
          <t>Workspace</t>
        </is>
      </c>
      <c r="J37" s="13">
        <f>J37*K37</f>
        <v/>
      </c>
      <c r="K37" s="13">
        <f>M37*L37</f>
        <v/>
      </c>
      <c r="L37" s="13">
        <f>M37-N37</f>
        <v/>
      </c>
      <c r="M37" s="13">
        <f>J37*P37</f>
        <v/>
      </c>
      <c r="N37" s="13">
        <f>O37-Q37</f>
        <v/>
      </c>
      <c r="O37" s="14">
        <f>IFERROR(R37/O37,0)</f>
        <v/>
      </c>
      <c r="P37" s="2" t="inlineStr">
        <is>
          <t>Pending</t>
        </is>
      </c>
      <c r="Q37" s="2" t="inlineStr">
        <is>
          <t>Credit Card</t>
        </is>
      </c>
    </row>
    <row r="38">
      <c r="A38" s="2" t="inlineStr">
        <is>
          <t>ORD-0037</t>
        </is>
      </c>
      <c r="B38" s="12" t="n"/>
      <c r="C38" s="2">
        <f>TEXT(B38,"yyyy-mm")</f>
        <v/>
      </c>
      <c r="D38" s="2" t="inlineStr">
        <is>
          <t>Customer 03</t>
        </is>
      </c>
      <c r="E38" s="2" t="inlineStr">
        <is>
          <t>North</t>
        </is>
      </c>
      <c r="F38" s="2" t="inlineStr">
        <is>
          <t>Partner</t>
        </is>
      </c>
      <c r="G38" s="2" t="inlineStr">
        <is>
          <t>Sam Patel</t>
        </is>
      </c>
      <c r="H38" s="2" t="inlineStr">
        <is>
          <t>Packing Cubes</t>
        </is>
      </c>
      <c r="I38" s="2" t="inlineStr">
        <is>
          <t>Travel</t>
        </is>
      </c>
      <c r="J38" s="13">
        <f>J38*K38</f>
        <v/>
      </c>
      <c r="K38" s="13">
        <f>M38*L38</f>
        <v/>
      </c>
      <c r="L38" s="13">
        <f>M38-N38</f>
        <v/>
      </c>
      <c r="M38" s="13">
        <f>J38*P38</f>
        <v/>
      </c>
      <c r="N38" s="13">
        <f>O38-Q38</f>
        <v/>
      </c>
      <c r="O38" s="14">
        <f>IFERROR(R38/O38,0)</f>
        <v/>
      </c>
      <c r="P38" s="2" t="inlineStr">
        <is>
          <t>Returned</t>
        </is>
      </c>
      <c r="Q38" s="2" t="inlineStr">
        <is>
          <t>PayPal</t>
        </is>
      </c>
    </row>
    <row r="39">
      <c r="A39" s="2" t="inlineStr">
        <is>
          <t>ORD-0038</t>
        </is>
      </c>
      <c r="B39" s="12" t="n"/>
      <c r="C39" s="2">
        <f>TEXT(B39,"yyyy-mm")</f>
        <v/>
      </c>
      <c r="D39" s="2" t="inlineStr">
        <is>
          <t>Customer 04</t>
        </is>
      </c>
      <c r="E39" s="2" t="inlineStr">
        <is>
          <t>South</t>
        </is>
      </c>
      <c r="F39" s="2" t="inlineStr">
        <is>
          <t>Direct Sales</t>
        </is>
      </c>
      <c r="G39" s="2" t="inlineStr">
        <is>
          <t>Maya Chen</t>
        </is>
      </c>
      <c r="H39" s="2" t="inlineStr">
        <is>
          <t>Monitor</t>
        </is>
      </c>
      <c r="I39" s="2" t="inlineStr">
        <is>
          <t>Workspace</t>
        </is>
      </c>
      <c r="J39" s="13">
        <f>J39*K39</f>
        <v/>
      </c>
      <c r="K39" s="13">
        <f>M39*L39</f>
        <v/>
      </c>
      <c r="L39" s="13">
        <f>M39-N39</f>
        <v/>
      </c>
      <c r="M39" s="13">
        <f>J39*P39</f>
        <v/>
      </c>
      <c r="N39" s="13">
        <f>O39-Q39</f>
        <v/>
      </c>
      <c r="O39" s="14">
        <f>IFERROR(R39/O39,0)</f>
        <v/>
      </c>
      <c r="P39" s="2" t="inlineStr">
        <is>
          <t>Cancelled</t>
        </is>
      </c>
      <c r="Q39" s="2" t="inlineStr">
        <is>
          <t>Bank Transfer</t>
        </is>
      </c>
    </row>
    <row r="40">
      <c r="A40" s="2" t="inlineStr">
        <is>
          <t>ORD-0039</t>
        </is>
      </c>
      <c r="B40" s="12" t="n"/>
      <c r="C40" s="2">
        <f>TEXT(B40,"yyyy-mm")</f>
        <v/>
      </c>
      <c r="D40" s="2" t="inlineStr">
        <is>
          <t>Customer 05</t>
        </is>
      </c>
      <c r="E40" s="2" t="inlineStr">
        <is>
          <t>Central</t>
        </is>
      </c>
      <c r="F40" s="2" t="inlineStr">
        <is>
          <t>Online</t>
        </is>
      </c>
      <c r="G40" s="2" t="inlineStr">
        <is>
          <t>Jordan Lee</t>
        </is>
      </c>
      <c r="H40" s="2" t="inlineStr">
        <is>
          <t>Rain Jacket</t>
        </is>
      </c>
      <c r="I40" s="2" t="inlineStr">
        <is>
          <t>Outdoor</t>
        </is>
      </c>
      <c r="J40" s="13">
        <f>J40*K40</f>
        <v/>
      </c>
      <c r="K40" s="13">
        <f>M40*L40</f>
        <v/>
      </c>
      <c r="L40" s="13">
        <f>M40-N40</f>
        <v/>
      </c>
      <c r="M40" s="13">
        <f>J40*P40</f>
        <v/>
      </c>
      <c r="N40" s="13">
        <f>O40-Q40</f>
        <v/>
      </c>
      <c r="O40" s="14">
        <f>IFERROR(R40/O40,0)</f>
        <v/>
      </c>
      <c r="P40" s="2" t="inlineStr">
        <is>
          <t>Delivered</t>
        </is>
      </c>
      <c r="Q40" s="2" t="inlineStr">
        <is>
          <t>Apple Pay</t>
        </is>
      </c>
    </row>
    <row r="41">
      <c r="A41" s="2" t="inlineStr">
        <is>
          <t>ORD-0040</t>
        </is>
      </c>
      <c r="B41" s="12" t="n"/>
      <c r="C41" s="2">
        <f>TEXT(B41,"yyyy-mm")</f>
        <v/>
      </c>
      <c r="D41" s="2" t="inlineStr">
        <is>
          <t>Customer 06</t>
        </is>
      </c>
      <c r="E41" s="2" t="inlineStr">
        <is>
          <t>East</t>
        </is>
      </c>
      <c r="F41" s="2" t="inlineStr">
        <is>
          <t>Retail</t>
        </is>
      </c>
      <c r="G41" s="2" t="inlineStr">
        <is>
          <t>Alex Rivera</t>
        </is>
      </c>
      <c r="H41" s="2" t="inlineStr">
        <is>
          <t>Laptop Stand</t>
        </is>
      </c>
      <c r="I41" s="2" t="inlineStr">
        <is>
          <t>Workspace</t>
        </is>
      </c>
      <c r="J41" s="13">
        <f>J41*K41</f>
        <v/>
      </c>
      <c r="K41" s="13">
        <f>M41*L41</f>
        <v/>
      </c>
      <c r="L41" s="13">
        <f>M41-N41</f>
        <v/>
      </c>
      <c r="M41" s="13">
        <f>J41*P41</f>
        <v/>
      </c>
      <c r="N41" s="13">
        <f>O41-Q41</f>
        <v/>
      </c>
      <c r="O41" s="14">
        <f>IFERROR(R41/O41,0)</f>
        <v/>
      </c>
      <c r="P41" s="2" t="inlineStr">
        <is>
          <t>Delivered</t>
        </is>
      </c>
      <c r="Q41" s="2" t="inlineStr">
        <is>
          <t>Invoice</t>
        </is>
      </c>
    </row>
    <row r="42">
      <c r="A42" s="2" t="inlineStr">
        <is>
          <t>ORD-0041</t>
        </is>
      </c>
      <c r="B42" s="12" t="n"/>
      <c r="C42" s="2">
        <f>TEXT(B42,"yyyy-mm")</f>
        <v/>
      </c>
      <c r="D42" s="2" t="inlineStr">
        <is>
          <t>Customer 07</t>
        </is>
      </c>
      <c r="E42" s="2" t="inlineStr">
        <is>
          <t>West</t>
        </is>
      </c>
      <c r="F42" s="2" t="inlineStr">
        <is>
          <t>Partner</t>
        </is>
      </c>
      <c r="G42" s="2" t="inlineStr">
        <is>
          <t>Priya Shah</t>
        </is>
      </c>
      <c r="H42" s="2" t="inlineStr">
        <is>
          <t>Fitness Band</t>
        </is>
      </c>
      <c r="I42" s="2" t="inlineStr">
        <is>
          <t>Fitness</t>
        </is>
      </c>
      <c r="J42" s="13">
        <f>J42*K42</f>
        <v/>
      </c>
      <c r="K42" s="13">
        <f>M42*L42</f>
        <v/>
      </c>
      <c r="L42" s="13">
        <f>M42-N42</f>
        <v/>
      </c>
      <c r="M42" s="13">
        <f>J42*P42</f>
        <v/>
      </c>
      <c r="N42" s="13">
        <f>O42-Q42</f>
        <v/>
      </c>
      <c r="O42" s="14">
        <f>IFERROR(R42/O42,0)</f>
        <v/>
      </c>
      <c r="P42" s="2" t="inlineStr">
        <is>
          <t>Delivered</t>
        </is>
      </c>
      <c r="Q42" s="2" t="inlineStr">
        <is>
          <t>Credit Card</t>
        </is>
      </c>
    </row>
    <row r="43">
      <c r="A43" s="2" t="inlineStr">
        <is>
          <t>ORD-0042</t>
        </is>
      </c>
      <c r="B43" s="12" t="n"/>
      <c r="C43" s="2">
        <f>TEXT(B43,"yyyy-mm")</f>
        <v/>
      </c>
      <c r="D43" s="2" t="inlineStr">
        <is>
          <t>Customer 08</t>
        </is>
      </c>
      <c r="E43" s="2" t="inlineStr">
        <is>
          <t>North</t>
        </is>
      </c>
      <c r="F43" s="2" t="inlineStr">
        <is>
          <t>Direct Sales</t>
        </is>
      </c>
      <c r="G43" s="2" t="inlineStr">
        <is>
          <t>Sam Patel</t>
        </is>
      </c>
      <c r="H43" s="2" t="inlineStr">
        <is>
          <t>Travel Backpack</t>
        </is>
      </c>
      <c r="I43" s="2" t="inlineStr">
        <is>
          <t>Travel</t>
        </is>
      </c>
      <c r="J43" s="13">
        <f>J43*K43</f>
        <v/>
      </c>
      <c r="K43" s="13">
        <f>M43*L43</f>
        <v/>
      </c>
      <c r="L43" s="13">
        <f>M43-N43</f>
        <v/>
      </c>
      <c r="M43" s="13">
        <f>J43*P43</f>
        <v/>
      </c>
      <c r="N43" s="13">
        <f>O43-Q43</f>
        <v/>
      </c>
      <c r="O43" s="14">
        <f>IFERROR(R43/O43,0)</f>
        <v/>
      </c>
      <c r="P43" s="2" t="inlineStr">
        <is>
          <t>Pending</t>
        </is>
      </c>
      <c r="Q43" s="2" t="inlineStr">
        <is>
          <t>PayPal</t>
        </is>
      </c>
    </row>
    <row r="44">
      <c r="A44" s="2" t="inlineStr">
        <is>
          <t>ORD-0043</t>
        </is>
      </c>
      <c r="B44" s="12" t="n"/>
      <c r="C44" s="2">
        <f>TEXT(B44,"yyyy-mm")</f>
        <v/>
      </c>
      <c r="D44" s="2" t="inlineStr">
        <is>
          <t>Customer 09</t>
        </is>
      </c>
      <c r="E44" s="2" t="inlineStr">
        <is>
          <t>South</t>
        </is>
      </c>
      <c r="F44" s="2" t="inlineStr">
        <is>
          <t>Online</t>
        </is>
      </c>
      <c r="G44" s="2" t="inlineStr">
        <is>
          <t>Maya Chen</t>
        </is>
      </c>
      <c r="H44" s="2" t="inlineStr">
        <is>
          <t>Mouse</t>
        </is>
      </c>
      <c r="I44" s="2" t="inlineStr">
        <is>
          <t>Workspace</t>
        </is>
      </c>
      <c r="J44" s="13">
        <f>J44*K44</f>
        <v/>
      </c>
      <c r="K44" s="13">
        <f>M44*L44</f>
        <v/>
      </c>
      <c r="L44" s="13">
        <f>M44-N44</f>
        <v/>
      </c>
      <c r="M44" s="13">
        <f>J44*P44</f>
        <v/>
      </c>
      <c r="N44" s="13">
        <f>O44-Q44</f>
        <v/>
      </c>
      <c r="O44" s="14">
        <f>IFERROR(R44/O44,0)</f>
        <v/>
      </c>
      <c r="P44" s="2" t="inlineStr">
        <is>
          <t>Returned</t>
        </is>
      </c>
      <c r="Q44" s="2" t="inlineStr">
        <is>
          <t>Bank Transfer</t>
        </is>
      </c>
    </row>
    <row r="45">
      <c r="A45" s="2" t="inlineStr">
        <is>
          <t>ORD-0044</t>
        </is>
      </c>
      <c r="B45" s="12" t="n"/>
      <c r="C45" s="2">
        <f>TEXT(B45,"yyyy-mm")</f>
        <v/>
      </c>
      <c r="D45" s="2" t="inlineStr">
        <is>
          <t>Customer 10</t>
        </is>
      </c>
      <c r="E45" s="2" t="inlineStr">
        <is>
          <t>Central</t>
        </is>
      </c>
      <c r="F45" s="2" t="inlineStr">
        <is>
          <t>Retail</t>
        </is>
      </c>
      <c r="G45" s="2" t="inlineStr">
        <is>
          <t>Jordan Lee</t>
        </is>
      </c>
      <c r="H45" s="2" t="inlineStr">
        <is>
          <t>Insulated Bottle</t>
        </is>
      </c>
      <c r="I45" s="2" t="inlineStr">
        <is>
          <t>Outdoor</t>
        </is>
      </c>
      <c r="J45" s="13">
        <f>J45*K45</f>
        <v/>
      </c>
      <c r="K45" s="13">
        <f>M45*L45</f>
        <v/>
      </c>
      <c r="L45" s="13">
        <f>M45-N45</f>
        <v/>
      </c>
      <c r="M45" s="13">
        <f>J45*P45</f>
        <v/>
      </c>
      <c r="N45" s="13">
        <f>O45-Q45</f>
        <v/>
      </c>
      <c r="O45" s="14">
        <f>IFERROR(R45/O45,0)</f>
        <v/>
      </c>
      <c r="P45" s="2" t="inlineStr">
        <is>
          <t>Cancelled</t>
        </is>
      </c>
      <c r="Q45" s="2" t="inlineStr">
        <is>
          <t>Apple Pay</t>
        </is>
      </c>
    </row>
    <row r="46">
      <c r="A46" s="2" t="inlineStr">
        <is>
          <t>ORD-0045</t>
        </is>
      </c>
      <c r="B46" s="12" t="n"/>
      <c r="C46" s="2">
        <f>TEXT(B46,"yyyy-mm")</f>
        <v/>
      </c>
      <c r="D46" s="2" t="inlineStr">
        <is>
          <t>Customer 11</t>
        </is>
      </c>
      <c r="E46" s="2" t="inlineStr">
        <is>
          <t>East</t>
        </is>
      </c>
      <c r="F46" s="2" t="inlineStr">
        <is>
          <t>Partner</t>
        </is>
      </c>
      <c r="G46" s="2" t="inlineStr">
        <is>
          <t>Alex Rivera</t>
        </is>
      </c>
      <c r="H46" s="2" t="inlineStr">
        <is>
          <t>Docking Station</t>
        </is>
      </c>
      <c r="I46" s="2" t="inlineStr">
        <is>
          <t>Workspace</t>
        </is>
      </c>
      <c r="J46" s="13">
        <f>J46*K46</f>
        <v/>
      </c>
      <c r="K46" s="13">
        <f>M46*L46</f>
        <v/>
      </c>
      <c r="L46" s="13">
        <f>M46-N46</f>
        <v/>
      </c>
      <c r="M46" s="13">
        <f>J46*P46</f>
        <v/>
      </c>
      <c r="N46" s="13">
        <f>O46-Q46</f>
        <v/>
      </c>
      <c r="O46" s="14">
        <f>IFERROR(R46/O46,0)</f>
        <v/>
      </c>
      <c r="P46" s="2" t="inlineStr">
        <is>
          <t>Delivered</t>
        </is>
      </c>
      <c r="Q46" s="2" t="inlineStr">
        <is>
          <t>Invoice</t>
        </is>
      </c>
    </row>
    <row r="47">
      <c r="A47" s="2" t="inlineStr">
        <is>
          <t>ORD-0046</t>
        </is>
      </c>
      <c r="B47" s="12" t="n"/>
      <c r="C47" s="2">
        <f>TEXT(B47,"yyyy-mm")</f>
        <v/>
      </c>
      <c r="D47" s="2" t="inlineStr">
        <is>
          <t>Customer 12</t>
        </is>
      </c>
      <c r="E47" s="2" t="inlineStr">
        <is>
          <t>West</t>
        </is>
      </c>
      <c r="F47" s="2" t="inlineStr">
        <is>
          <t>Direct Sales</t>
        </is>
      </c>
      <c r="G47" s="2" t="inlineStr">
        <is>
          <t>Priya Shah</t>
        </is>
      </c>
      <c r="H47" s="2" t="inlineStr">
        <is>
          <t>Yoga Mat</t>
        </is>
      </c>
      <c r="I47" s="2" t="inlineStr">
        <is>
          <t>Fitness</t>
        </is>
      </c>
      <c r="J47" s="13">
        <f>J47*K47</f>
        <v/>
      </c>
      <c r="K47" s="13">
        <f>M47*L47</f>
        <v/>
      </c>
      <c r="L47" s="13">
        <f>M47-N47</f>
        <v/>
      </c>
      <c r="M47" s="13">
        <f>J47*P47</f>
        <v/>
      </c>
      <c r="N47" s="13">
        <f>O47-Q47</f>
        <v/>
      </c>
      <c r="O47" s="14">
        <f>IFERROR(R47/O47,0)</f>
        <v/>
      </c>
      <c r="P47" s="2" t="inlineStr">
        <is>
          <t>Delivered</t>
        </is>
      </c>
      <c r="Q47" s="2" t="inlineStr">
        <is>
          <t>Credit Card</t>
        </is>
      </c>
    </row>
    <row r="48">
      <c r="A48" s="2" t="inlineStr">
        <is>
          <t>ORD-0047</t>
        </is>
      </c>
      <c r="B48" s="12" t="n"/>
      <c r="C48" s="2">
        <f>TEXT(B48,"yyyy-mm")</f>
        <v/>
      </c>
      <c r="D48" s="2" t="inlineStr">
        <is>
          <t>Customer 13</t>
        </is>
      </c>
      <c r="E48" s="2" t="inlineStr">
        <is>
          <t>North</t>
        </is>
      </c>
      <c r="F48" s="2" t="inlineStr">
        <is>
          <t>Online</t>
        </is>
      </c>
      <c r="G48" s="2" t="inlineStr">
        <is>
          <t>Sam Patel</t>
        </is>
      </c>
      <c r="H48" s="2" t="inlineStr">
        <is>
          <t>Webcam</t>
        </is>
      </c>
      <c r="I48" s="2" t="inlineStr">
        <is>
          <t>Workspace</t>
        </is>
      </c>
      <c r="J48" s="13">
        <f>J48*K48</f>
        <v/>
      </c>
      <c r="K48" s="13">
        <f>M48*L48</f>
        <v/>
      </c>
      <c r="L48" s="13">
        <f>M48-N48</f>
        <v/>
      </c>
      <c r="M48" s="13">
        <f>J48*P48</f>
        <v/>
      </c>
      <c r="N48" s="13">
        <f>O48-Q48</f>
        <v/>
      </c>
      <c r="O48" s="14">
        <f>IFERROR(R48/O48,0)</f>
        <v/>
      </c>
      <c r="P48" s="2" t="inlineStr">
        <is>
          <t>Delivered</t>
        </is>
      </c>
      <c r="Q48" s="2" t="inlineStr">
        <is>
          <t>PayPal</t>
        </is>
      </c>
    </row>
    <row r="49">
      <c r="A49" s="2" t="inlineStr">
        <is>
          <t>ORD-0048</t>
        </is>
      </c>
      <c r="B49" s="12" t="n"/>
      <c r="C49" s="2">
        <f>TEXT(B49,"yyyy-mm")</f>
        <v/>
      </c>
      <c r="D49" s="2" t="inlineStr">
        <is>
          <t>Customer 14</t>
        </is>
      </c>
      <c r="E49" s="2" t="inlineStr">
        <is>
          <t>South</t>
        </is>
      </c>
      <c r="F49" s="2" t="inlineStr">
        <is>
          <t>Retail</t>
        </is>
      </c>
      <c r="G49" s="2" t="inlineStr">
        <is>
          <t>Maya Chen</t>
        </is>
      </c>
      <c r="H49" s="2" t="inlineStr">
        <is>
          <t>Keyboard</t>
        </is>
      </c>
      <c r="I49" s="2" t="inlineStr">
        <is>
          <t>Workspace</t>
        </is>
      </c>
      <c r="J49" s="13">
        <f>J49*K49</f>
        <v/>
      </c>
      <c r="K49" s="13">
        <f>M49*L49</f>
        <v/>
      </c>
      <c r="L49" s="13">
        <f>M49-N49</f>
        <v/>
      </c>
      <c r="M49" s="13">
        <f>J49*P49</f>
        <v/>
      </c>
      <c r="N49" s="13">
        <f>O49-Q49</f>
        <v/>
      </c>
      <c r="O49" s="14">
        <f>IFERROR(R49/O49,0)</f>
        <v/>
      </c>
      <c r="P49" s="2" t="inlineStr">
        <is>
          <t>Pending</t>
        </is>
      </c>
      <c r="Q49" s="2" t="inlineStr">
        <is>
          <t>Bank Transfer</t>
        </is>
      </c>
    </row>
    <row r="50">
      <c r="A50" s="2" t="inlineStr">
        <is>
          <t>ORD-0049</t>
        </is>
      </c>
      <c r="B50" s="12" t="n"/>
      <c r="C50" s="2">
        <f>TEXT(B50,"yyyy-mm")</f>
        <v/>
      </c>
      <c r="D50" s="2" t="inlineStr">
        <is>
          <t>Customer 15</t>
        </is>
      </c>
      <c r="E50" s="2" t="inlineStr">
        <is>
          <t>Central</t>
        </is>
      </c>
      <c r="F50" s="2" t="inlineStr">
        <is>
          <t>Partner</t>
        </is>
      </c>
      <c r="G50" s="2" t="inlineStr">
        <is>
          <t>Jordan Lee</t>
        </is>
      </c>
      <c r="H50" s="2" t="inlineStr">
        <is>
          <t>Packing Cubes</t>
        </is>
      </c>
      <c r="I50" s="2" t="inlineStr">
        <is>
          <t>Travel</t>
        </is>
      </c>
      <c r="J50" s="13">
        <f>J50*K50</f>
        <v/>
      </c>
      <c r="K50" s="13">
        <f>M50*L50</f>
        <v/>
      </c>
      <c r="L50" s="13">
        <f>M50-N50</f>
        <v/>
      </c>
      <c r="M50" s="13">
        <f>J50*P50</f>
        <v/>
      </c>
      <c r="N50" s="13">
        <f>O50-Q50</f>
        <v/>
      </c>
      <c r="O50" s="14">
        <f>IFERROR(R50/O50,0)</f>
        <v/>
      </c>
      <c r="P50" s="2" t="inlineStr">
        <is>
          <t>Returned</t>
        </is>
      </c>
      <c r="Q50" s="2" t="inlineStr">
        <is>
          <t>Apple Pay</t>
        </is>
      </c>
    </row>
    <row r="51">
      <c r="A51" s="2" t="inlineStr">
        <is>
          <t>ORD-0050</t>
        </is>
      </c>
      <c r="B51" s="12" t="n"/>
      <c r="C51" s="2">
        <f>TEXT(B51,"yyyy-mm")</f>
        <v/>
      </c>
      <c r="D51" s="2" t="inlineStr">
        <is>
          <t>Customer 16</t>
        </is>
      </c>
      <c r="E51" s="2" t="inlineStr">
        <is>
          <t>East</t>
        </is>
      </c>
      <c r="F51" s="2" t="inlineStr">
        <is>
          <t>Direct Sales</t>
        </is>
      </c>
      <c r="G51" s="2" t="inlineStr">
        <is>
          <t>Alex Rivera</t>
        </is>
      </c>
      <c r="H51" s="2" t="inlineStr">
        <is>
          <t>Monitor</t>
        </is>
      </c>
      <c r="I51" s="2" t="inlineStr">
        <is>
          <t>Workspace</t>
        </is>
      </c>
      <c r="J51" s="13">
        <f>J51*K51</f>
        <v/>
      </c>
      <c r="K51" s="13">
        <f>M51*L51</f>
        <v/>
      </c>
      <c r="L51" s="13">
        <f>M51-N51</f>
        <v/>
      </c>
      <c r="M51" s="13">
        <f>J51*P51</f>
        <v/>
      </c>
      <c r="N51" s="13">
        <f>O51-Q51</f>
        <v/>
      </c>
      <c r="O51" s="14">
        <f>IFERROR(R51/O51,0)</f>
        <v/>
      </c>
      <c r="P51" s="2" t="inlineStr">
        <is>
          <t>Cancelled</t>
        </is>
      </c>
      <c r="Q51" s="2" t="inlineStr">
        <is>
          <t>Invoice</t>
        </is>
      </c>
    </row>
    <row r="52">
      <c r="A52" s="2" t="inlineStr">
        <is>
          <t>ORD-0051</t>
        </is>
      </c>
      <c r="B52" s="12" t="n"/>
      <c r="C52" s="2">
        <f>TEXT(B52,"yyyy-mm")</f>
        <v/>
      </c>
      <c r="D52" s="2" t="inlineStr">
        <is>
          <t>Customer 17</t>
        </is>
      </c>
      <c r="E52" s="2" t="inlineStr">
        <is>
          <t>West</t>
        </is>
      </c>
      <c r="F52" s="2" t="inlineStr">
        <is>
          <t>Online</t>
        </is>
      </c>
      <c r="G52" s="2" t="inlineStr">
        <is>
          <t>Priya Shah</t>
        </is>
      </c>
      <c r="H52" s="2" t="inlineStr">
        <is>
          <t>Rain Jacket</t>
        </is>
      </c>
      <c r="I52" s="2" t="inlineStr">
        <is>
          <t>Outdoor</t>
        </is>
      </c>
      <c r="J52" s="13">
        <f>J52*K52</f>
        <v/>
      </c>
      <c r="K52" s="13">
        <f>M52*L52</f>
        <v/>
      </c>
      <c r="L52" s="13">
        <f>M52-N52</f>
        <v/>
      </c>
      <c r="M52" s="13">
        <f>J52*P52</f>
        <v/>
      </c>
      <c r="N52" s="13">
        <f>O52-Q52</f>
        <v/>
      </c>
      <c r="O52" s="14">
        <f>IFERROR(R52/O52,0)</f>
        <v/>
      </c>
      <c r="P52" s="2" t="inlineStr">
        <is>
          <t>Delivered</t>
        </is>
      </c>
      <c r="Q52" s="2" t="inlineStr">
        <is>
          <t>Credit Card</t>
        </is>
      </c>
    </row>
    <row r="53">
      <c r="A53" s="2" t="inlineStr">
        <is>
          <t>ORD-0052</t>
        </is>
      </c>
      <c r="B53" s="12" t="n"/>
      <c r="C53" s="2">
        <f>TEXT(B53,"yyyy-mm")</f>
        <v/>
      </c>
      <c r="D53" s="2" t="inlineStr">
        <is>
          <t>Customer 18</t>
        </is>
      </c>
      <c r="E53" s="2" t="inlineStr">
        <is>
          <t>North</t>
        </is>
      </c>
      <c r="F53" s="2" t="inlineStr">
        <is>
          <t>Retail</t>
        </is>
      </c>
      <c r="G53" s="2" t="inlineStr">
        <is>
          <t>Sam Patel</t>
        </is>
      </c>
      <c r="H53" s="2" t="inlineStr">
        <is>
          <t>Laptop Stand</t>
        </is>
      </c>
      <c r="I53" s="2" t="inlineStr">
        <is>
          <t>Workspace</t>
        </is>
      </c>
      <c r="J53" s="13">
        <f>J53*K53</f>
        <v/>
      </c>
      <c r="K53" s="13">
        <f>M53*L53</f>
        <v/>
      </c>
      <c r="L53" s="13">
        <f>M53-N53</f>
        <v/>
      </c>
      <c r="M53" s="13">
        <f>J53*P53</f>
        <v/>
      </c>
      <c r="N53" s="13">
        <f>O53-Q53</f>
        <v/>
      </c>
      <c r="O53" s="14">
        <f>IFERROR(R53/O53,0)</f>
        <v/>
      </c>
      <c r="P53" s="2" t="inlineStr">
        <is>
          <t>Delivered</t>
        </is>
      </c>
      <c r="Q53" s="2" t="inlineStr">
        <is>
          <t>PayPal</t>
        </is>
      </c>
    </row>
    <row r="54">
      <c r="A54" s="2" t="inlineStr">
        <is>
          <t>ORD-0053</t>
        </is>
      </c>
      <c r="B54" s="12" t="n"/>
      <c r="C54" s="2">
        <f>TEXT(B54,"yyyy-mm")</f>
        <v/>
      </c>
      <c r="D54" s="2" t="inlineStr">
        <is>
          <t>Customer 19</t>
        </is>
      </c>
      <c r="E54" s="2" t="inlineStr">
        <is>
          <t>South</t>
        </is>
      </c>
      <c r="F54" s="2" t="inlineStr">
        <is>
          <t>Partner</t>
        </is>
      </c>
      <c r="G54" s="2" t="inlineStr">
        <is>
          <t>Maya Chen</t>
        </is>
      </c>
      <c r="H54" s="2" t="inlineStr">
        <is>
          <t>Fitness Band</t>
        </is>
      </c>
      <c r="I54" s="2" t="inlineStr">
        <is>
          <t>Fitness</t>
        </is>
      </c>
      <c r="J54" s="13">
        <f>J54*K54</f>
        <v/>
      </c>
      <c r="K54" s="13">
        <f>M54*L54</f>
        <v/>
      </c>
      <c r="L54" s="13">
        <f>M54-N54</f>
        <v/>
      </c>
      <c r="M54" s="13">
        <f>J54*P54</f>
        <v/>
      </c>
      <c r="N54" s="13">
        <f>O54-Q54</f>
        <v/>
      </c>
      <c r="O54" s="14">
        <f>IFERROR(R54/O54,0)</f>
        <v/>
      </c>
      <c r="P54" s="2" t="inlineStr">
        <is>
          <t>Delivered</t>
        </is>
      </c>
      <c r="Q54" s="2" t="inlineStr">
        <is>
          <t>Bank Transfer</t>
        </is>
      </c>
    </row>
    <row r="55">
      <c r="A55" s="2" t="inlineStr">
        <is>
          <t>ORD-0054</t>
        </is>
      </c>
      <c r="B55" s="12" t="n"/>
      <c r="C55" s="2">
        <f>TEXT(B55,"yyyy-mm")</f>
        <v/>
      </c>
      <c r="D55" s="2" t="inlineStr">
        <is>
          <t>Customer 20</t>
        </is>
      </c>
      <c r="E55" s="2" t="inlineStr">
        <is>
          <t>Central</t>
        </is>
      </c>
      <c r="F55" s="2" t="inlineStr">
        <is>
          <t>Direct Sales</t>
        </is>
      </c>
      <c r="G55" s="2" t="inlineStr">
        <is>
          <t>Jordan Lee</t>
        </is>
      </c>
      <c r="H55" s="2" t="inlineStr">
        <is>
          <t>Travel Backpack</t>
        </is>
      </c>
      <c r="I55" s="2" t="inlineStr">
        <is>
          <t>Travel</t>
        </is>
      </c>
      <c r="J55" s="13">
        <f>J55*K55</f>
        <v/>
      </c>
      <c r="K55" s="13">
        <f>M55*L55</f>
        <v/>
      </c>
      <c r="L55" s="13">
        <f>M55-N55</f>
        <v/>
      </c>
      <c r="M55" s="13">
        <f>J55*P55</f>
        <v/>
      </c>
      <c r="N55" s="13">
        <f>O55-Q55</f>
        <v/>
      </c>
      <c r="O55" s="14">
        <f>IFERROR(R55/O55,0)</f>
        <v/>
      </c>
      <c r="P55" s="2" t="inlineStr">
        <is>
          <t>Pending</t>
        </is>
      </c>
      <c r="Q55" s="2" t="inlineStr">
        <is>
          <t>Apple Pay</t>
        </is>
      </c>
    </row>
    <row r="56">
      <c r="A56" s="2" t="inlineStr">
        <is>
          <t>ORD-0055</t>
        </is>
      </c>
      <c r="B56" s="12" t="n"/>
      <c r="C56" s="2">
        <f>TEXT(B56,"yyyy-mm")</f>
        <v/>
      </c>
      <c r="D56" s="2" t="inlineStr">
        <is>
          <t>Customer 21</t>
        </is>
      </c>
      <c r="E56" s="2" t="inlineStr">
        <is>
          <t>East</t>
        </is>
      </c>
      <c r="F56" s="2" t="inlineStr">
        <is>
          <t>Online</t>
        </is>
      </c>
      <c r="G56" s="2" t="inlineStr">
        <is>
          <t>Alex Rivera</t>
        </is>
      </c>
      <c r="H56" s="2" t="inlineStr">
        <is>
          <t>Mouse</t>
        </is>
      </c>
      <c r="I56" s="2" t="inlineStr">
        <is>
          <t>Workspace</t>
        </is>
      </c>
      <c r="J56" s="13">
        <f>J56*K56</f>
        <v/>
      </c>
      <c r="K56" s="13">
        <f>M56*L56</f>
        <v/>
      </c>
      <c r="L56" s="13">
        <f>M56-N56</f>
        <v/>
      </c>
      <c r="M56" s="13">
        <f>J56*P56</f>
        <v/>
      </c>
      <c r="N56" s="13">
        <f>O56-Q56</f>
        <v/>
      </c>
      <c r="O56" s="14">
        <f>IFERROR(R56/O56,0)</f>
        <v/>
      </c>
      <c r="P56" s="2" t="inlineStr">
        <is>
          <t>Returned</t>
        </is>
      </c>
      <c r="Q56" s="2" t="inlineStr">
        <is>
          <t>Invoice</t>
        </is>
      </c>
    </row>
    <row r="57">
      <c r="A57" s="2" t="inlineStr">
        <is>
          <t>ORD-0056</t>
        </is>
      </c>
      <c r="B57" s="12" t="n"/>
      <c r="C57" s="2">
        <f>TEXT(B57,"yyyy-mm")</f>
        <v/>
      </c>
      <c r="D57" s="2" t="inlineStr">
        <is>
          <t>Customer 22</t>
        </is>
      </c>
      <c r="E57" s="2" t="inlineStr">
        <is>
          <t>West</t>
        </is>
      </c>
      <c r="F57" s="2" t="inlineStr">
        <is>
          <t>Retail</t>
        </is>
      </c>
      <c r="G57" s="2" t="inlineStr">
        <is>
          <t>Priya Shah</t>
        </is>
      </c>
      <c r="H57" s="2" t="inlineStr">
        <is>
          <t>Insulated Bottle</t>
        </is>
      </c>
      <c r="I57" s="2" t="inlineStr">
        <is>
          <t>Outdoor</t>
        </is>
      </c>
      <c r="J57" s="13">
        <f>J57*K57</f>
        <v/>
      </c>
      <c r="K57" s="13">
        <f>M57*L57</f>
        <v/>
      </c>
      <c r="L57" s="13">
        <f>M57-N57</f>
        <v/>
      </c>
      <c r="M57" s="13">
        <f>J57*P57</f>
        <v/>
      </c>
      <c r="N57" s="13">
        <f>O57-Q57</f>
        <v/>
      </c>
      <c r="O57" s="14">
        <f>IFERROR(R57/O57,0)</f>
        <v/>
      </c>
      <c r="P57" s="2" t="inlineStr">
        <is>
          <t>Cancelled</t>
        </is>
      </c>
      <c r="Q57" s="2" t="inlineStr">
        <is>
          <t>Credit Card</t>
        </is>
      </c>
    </row>
    <row r="58">
      <c r="A58" s="2" t="inlineStr">
        <is>
          <t>ORD-0057</t>
        </is>
      </c>
      <c r="B58" s="12" t="n"/>
      <c r="C58" s="2">
        <f>TEXT(B58,"yyyy-mm")</f>
        <v/>
      </c>
      <c r="D58" s="2" t="inlineStr">
        <is>
          <t>Customer 23</t>
        </is>
      </c>
      <c r="E58" s="2" t="inlineStr">
        <is>
          <t>North</t>
        </is>
      </c>
      <c r="F58" s="2" t="inlineStr">
        <is>
          <t>Partner</t>
        </is>
      </c>
      <c r="G58" s="2" t="inlineStr">
        <is>
          <t>Sam Patel</t>
        </is>
      </c>
      <c r="H58" s="2" t="inlineStr">
        <is>
          <t>Docking Station</t>
        </is>
      </c>
      <c r="I58" s="2" t="inlineStr">
        <is>
          <t>Workspace</t>
        </is>
      </c>
      <c r="J58" s="13">
        <f>J58*K58</f>
        <v/>
      </c>
      <c r="K58" s="13">
        <f>M58*L58</f>
        <v/>
      </c>
      <c r="L58" s="13">
        <f>M58-N58</f>
        <v/>
      </c>
      <c r="M58" s="13">
        <f>J58*P58</f>
        <v/>
      </c>
      <c r="N58" s="13">
        <f>O58-Q58</f>
        <v/>
      </c>
      <c r="O58" s="14">
        <f>IFERROR(R58/O58,0)</f>
        <v/>
      </c>
      <c r="P58" s="2" t="inlineStr">
        <is>
          <t>Delivered</t>
        </is>
      </c>
      <c r="Q58" s="2" t="inlineStr">
        <is>
          <t>PayPal</t>
        </is>
      </c>
    </row>
    <row r="59">
      <c r="A59" s="2" t="inlineStr">
        <is>
          <t>ORD-0058</t>
        </is>
      </c>
      <c r="B59" s="12" t="n"/>
      <c r="C59" s="2">
        <f>TEXT(B59,"yyyy-mm")</f>
        <v/>
      </c>
      <c r="D59" s="2" t="inlineStr">
        <is>
          <t>Customer 24</t>
        </is>
      </c>
      <c r="E59" s="2" t="inlineStr">
        <is>
          <t>South</t>
        </is>
      </c>
      <c r="F59" s="2" t="inlineStr">
        <is>
          <t>Direct Sales</t>
        </is>
      </c>
      <c r="G59" s="2" t="inlineStr">
        <is>
          <t>Maya Chen</t>
        </is>
      </c>
      <c r="H59" s="2" t="inlineStr">
        <is>
          <t>Yoga Mat</t>
        </is>
      </c>
      <c r="I59" s="2" t="inlineStr">
        <is>
          <t>Fitness</t>
        </is>
      </c>
      <c r="J59" s="13">
        <f>J59*K59</f>
        <v/>
      </c>
      <c r="K59" s="13">
        <f>M59*L59</f>
        <v/>
      </c>
      <c r="L59" s="13">
        <f>M59-N59</f>
        <v/>
      </c>
      <c r="M59" s="13">
        <f>J59*P59</f>
        <v/>
      </c>
      <c r="N59" s="13">
        <f>O59-Q59</f>
        <v/>
      </c>
      <c r="O59" s="14">
        <f>IFERROR(R59/O59,0)</f>
        <v/>
      </c>
      <c r="P59" s="2" t="inlineStr">
        <is>
          <t>Delivered</t>
        </is>
      </c>
      <c r="Q59" s="2" t="inlineStr">
        <is>
          <t>Bank Transfer</t>
        </is>
      </c>
    </row>
    <row r="60">
      <c r="A60" s="2" t="inlineStr">
        <is>
          <t>ORD-0059</t>
        </is>
      </c>
      <c r="B60" s="12" t="n"/>
      <c r="C60" s="2">
        <f>TEXT(B60,"yyyy-mm")</f>
        <v/>
      </c>
      <c r="D60" s="2" t="inlineStr">
        <is>
          <t>Customer 25</t>
        </is>
      </c>
      <c r="E60" s="2" t="inlineStr">
        <is>
          <t>Central</t>
        </is>
      </c>
      <c r="F60" s="2" t="inlineStr">
        <is>
          <t>Online</t>
        </is>
      </c>
      <c r="G60" s="2" t="inlineStr">
        <is>
          <t>Jordan Lee</t>
        </is>
      </c>
      <c r="H60" s="2" t="inlineStr">
        <is>
          <t>Webcam</t>
        </is>
      </c>
      <c r="I60" s="2" t="inlineStr">
        <is>
          <t>Workspace</t>
        </is>
      </c>
      <c r="J60" s="13">
        <f>J60*K60</f>
        <v/>
      </c>
      <c r="K60" s="13">
        <f>M60*L60</f>
        <v/>
      </c>
      <c r="L60" s="13">
        <f>M60-N60</f>
        <v/>
      </c>
      <c r="M60" s="13">
        <f>J60*P60</f>
        <v/>
      </c>
      <c r="N60" s="13">
        <f>O60-Q60</f>
        <v/>
      </c>
      <c r="O60" s="14">
        <f>IFERROR(R60/O60,0)</f>
        <v/>
      </c>
      <c r="P60" s="2" t="inlineStr">
        <is>
          <t>Delivered</t>
        </is>
      </c>
      <c r="Q60" s="2" t="inlineStr">
        <is>
          <t>Apple Pay</t>
        </is>
      </c>
    </row>
    <row r="61">
      <c r="A61" s="2" t="inlineStr">
        <is>
          <t>ORD-0060</t>
        </is>
      </c>
      <c r="B61" s="12" t="n"/>
      <c r="C61" s="2">
        <f>TEXT(B61,"yyyy-mm")</f>
        <v/>
      </c>
      <c r="D61" s="2" t="inlineStr">
        <is>
          <t>Customer 26</t>
        </is>
      </c>
      <c r="E61" s="2" t="inlineStr">
        <is>
          <t>East</t>
        </is>
      </c>
      <c r="F61" s="2" t="inlineStr">
        <is>
          <t>Retail</t>
        </is>
      </c>
      <c r="G61" s="2" t="inlineStr">
        <is>
          <t>Alex Rivera</t>
        </is>
      </c>
      <c r="H61" s="2" t="inlineStr">
        <is>
          <t>Keyboard</t>
        </is>
      </c>
      <c r="I61" s="2" t="inlineStr">
        <is>
          <t>Workspace</t>
        </is>
      </c>
      <c r="J61" s="13">
        <f>J61*K61</f>
        <v/>
      </c>
      <c r="K61" s="13">
        <f>M61*L61</f>
        <v/>
      </c>
      <c r="L61" s="13">
        <f>M61-N61</f>
        <v/>
      </c>
      <c r="M61" s="13">
        <f>J61*P61</f>
        <v/>
      </c>
      <c r="N61" s="13">
        <f>O61-Q61</f>
        <v/>
      </c>
      <c r="O61" s="14">
        <f>IFERROR(R61/O61,0)</f>
        <v/>
      </c>
      <c r="P61" s="2" t="inlineStr">
        <is>
          <t>Pending</t>
        </is>
      </c>
      <c r="Q61" s="2" t="inlineStr">
        <is>
          <t>Invoice</t>
        </is>
      </c>
    </row>
    <row r="62">
      <c r="A62" s="2" t="inlineStr">
        <is>
          <t>ORD-0061</t>
        </is>
      </c>
      <c r="B62" s="12" t="n"/>
      <c r="C62" s="2">
        <f>TEXT(B62,"yyyy-mm")</f>
        <v/>
      </c>
      <c r="D62" s="2" t="inlineStr">
        <is>
          <t>Customer 27</t>
        </is>
      </c>
      <c r="E62" s="2" t="inlineStr">
        <is>
          <t>West</t>
        </is>
      </c>
      <c r="F62" s="2" t="inlineStr">
        <is>
          <t>Partner</t>
        </is>
      </c>
      <c r="G62" s="2" t="inlineStr">
        <is>
          <t>Priya Shah</t>
        </is>
      </c>
      <c r="H62" s="2" t="inlineStr">
        <is>
          <t>Packing Cubes</t>
        </is>
      </c>
      <c r="I62" s="2" t="inlineStr">
        <is>
          <t>Travel</t>
        </is>
      </c>
      <c r="J62" s="13">
        <f>J62*K62</f>
        <v/>
      </c>
      <c r="K62" s="13">
        <f>M62*L62</f>
        <v/>
      </c>
      <c r="L62" s="13">
        <f>M62-N62</f>
        <v/>
      </c>
      <c r="M62" s="13">
        <f>J62*P62</f>
        <v/>
      </c>
      <c r="N62" s="13">
        <f>O62-Q62</f>
        <v/>
      </c>
      <c r="O62" s="14">
        <f>IFERROR(R62/O62,0)</f>
        <v/>
      </c>
      <c r="P62" s="2" t="inlineStr">
        <is>
          <t>Returned</t>
        </is>
      </c>
      <c r="Q62" s="2" t="inlineStr">
        <is>
          <t>Credit Card</t>
        </is>
      </c>
    </row>
    <row r="63">
      <c r="A63" s="2" t="inlineStr">
        <is>
          <t>ORD-0062</t>
        </is>
      </c>
      <c r="B63" s="12" t="n"/>
      <c r="C63" s="2">
        <f>TEXT(B63,"yyyy-mm")</f>
        <v/>
      </c>
      <c r="D63" s="2" t="inlineStr">
        <is>
          <t>Customer 28</t>
        </is>
      </c>
      <c r="E63" s="2" t="inlineStr">
        <is>
          <t>North</t>
        </is>
      </c>
      <c r="F63" s="2" t="inlineStr">
        <is>
          <t>Direct Sales</t>
        </is>
      </c>
      <c r="G63" s="2" t="inlineStr">
        <is>
          <t>Sam Patel</t>
        </is>
      </c>
      <c r="H63" s="2" t="inlineStr">
        <is>
          <t>Monitor</t>
        </is>
      </c>
      <c r="I63" s="2" t="inlineStr">
        <is>
          <t>Workspace</t>
        </is>
      </c>
      <c r="J63" s="13">
        <f>J63*K63</f>
        <v/>
      </c>
      <c r="K63" s="13">
        <f>M63*L63</f>
        <v/>
      </c>
      <c r="L63" s="13">
        <f>M63-N63</f>
        <v/>
      </c>
      <c r="M63" s="13">
        <f>J63*P63</f>
        <v/>
      </c>
      <c r="N63" s="13">
        <f>O63-Q63</f>
        <v/>
      </c>
      <c r="O63" s="14">
        <f>IFERROR(R63/O63,0)</f>
        <v/>
      </c>
      <c r="P63" s="2" t="inlineStr">
        <is>
          <t>Cancelled</t>
        </is>
      </c>
      <c r="Q63" s="2" t="inlineStr">
        <is>
          <t>PayPal</t>
        </is>
      </c>
    </row>
    <row r="64">
      <c r="A64" s="2" t="inlineStr">
        <is>
          <t>ORD-0063</t>
        </is>
      </c>
      <c r="B64" s="12" t="n"/>
      <c r="C64" s="2">
        <f>TEXT(B64,"yyyy-mm")</f>
        <v/>
      </c>
      <c r="D64" s="2" t="inlineStr">
        <is>
          <t>Customer 29</t>
        </is>
      </c>
      <c r="E64" s="2" t="inlineStr">
        <is>
          <t>South</t>
        </is>
      </c>
      <c r="F64" s="2" t="inlineStr">
        <is>
          <t>Online</t>
        </is>
      </c>
      <c r="G64" s="2" t="inlineStr">
        <is>
          <t>Maya Chen</t>
        </is>
      </c>
      <c r="H64" s="2" t="inlineStr">
        <is>
          <t>Rain Jacket</t>
        </is>
      </c>
      <c r="I64" s="2" t="inlineStr">
        <is>
          <t>Outdoor</t>
        </is>
      </c>
      <c r="J64" s="13">
        <f>J64*K64</f>
        <v/>
      </c>
      <c r="K64" s="13">
        <f>M64*L64</f>
        <v/>
      </c>
      <c r="L64" s="13">
        <f>M64-N64</f>
        <v/>
      </c>
      <c r="M64" s="13">
        <f>J64*P64</f>
        <v/>
      </c>
      <c r="N64" s="13">
        <f>O64-Q64</f>
        <v/>
      </c>
      <c r="O64" s="14">
        <f>IFERROR(R64/O64,0)</f>
        <v/>
      </c>
      <c r="P64" s="2" t="inlineStr">
        <is>
          <t>Delivered</t>
        </is>
      </c>
      <c r="Q64" s="2" t="inlineStr">
        <is>
          <t>Bank Transfer</t>
        </is>
      </c>
    </row>
    <row r="65">
      <c r="A65" s="2" t="inlineStr">
        <is>
          <t>ORD-0064</t>
        </is>
      </c>
      <c r="B65" s="12" t="n"/>
      <c r="C65" s="2">
        <f>TEXT(B65,"yyyy-mm")</f>
        <v/>
      </c>
      <c r="D65" s="2" t="inlineStr">
        <is>
          <t>Customer 30</t>
        </is>
      </c>
      <c r="E65" s="2" t="inlineStr">
        <is>
          <t>Central</t>
        </is>
      </c>
      <c r="F65" s="2" t="inlineStr">
        <is>
          <t>Retail</t>
        </is>
      </c>
      <c r="G65" s="2" t="inlineStr">
        <is>
          <t>Jordan Lee</t>
        </is>
      </c>
      <c r="H65" s="2" t="inlineStr">
        <is>
          <t>Laptop Stand</t>
        </is>
      </c>
      <c r="I65" s="2" t="inlineStr">
        <is>
          <t>Workspace</t>
        </is>
      </c>
      <c r="J65" s="13">
        <f>J65*K65</f>
        <v/>
      </c>
      <c r="K65" s="13">
        <f>M65*L65</f>
        <v/>
      </c>
      <c r="L65" s="13">
        <f>M65-N65</f>
        <v/>
      </c>
      <c r="M65" s="13">
        <f>J65*P65</f>
        <v/>
      </c>
      <c r="N65" s="13">
        <f>O65-Q65</f>
        <v/>
      </c>
      <c r="O65" s="14">
        <f>IFERROR(R65/O65,0)</f>
        <v/>
      </c>
      <c r="P65" s="2" t="inlineStr">
        <is>
          <t>Delivered</t>
        </is>
      </c>
      <c r="Q65" s="2" t="inlineStr">
        <is>
          <t>Apple Pay</t>
        </is>
      </c>
    </row>
    <row r="66">
      <c r="A66" s="2" t="inlineStr">
        <is>
          <t>ORD-0065</t>
        </is>
      </c>
      <c r="B66" s="12" t="n"/>
      <c r="C66" s="2">
        <f>TEXT(B66,"yyyy-mm")</f>
        <v/>
      </c>
      <c r="D66" s="2" t="inlineStr">
        <is>
          <t>Customer 31</t>
        </is>
      </c>
      <c r="E66" s="2" t="inlineStr">
        <is>
          <t>East</t>
        </is>
      </c>
      <c r="F66" s="2" t="inlineStr">
        <is>
          <t>Partner</t>
        </is>
      </c>
      <c r="G66" s="2" t="inlineStr">
        <is>
          <t>Alex Rivera</t>
        </is>
      </c>
      <c r="H66" s="2" t="inlineStr">
        <is>
          <t>Fitness Band</t>
        </is>
      </c>
      <c r="I66" s="2" t="inlineStr">
        <is>
          <t>Fitness</t>
        </is>
      </c>
      <c r="J66" s="13">
        <f>J66*K66</f>
        <v/>
      </c>
      <c r="K66" s="13">
        <f>M66*L66</f>
        <v/>
      </c>
      <c r="L66" s="13">
        <f>M66-N66</f>
        <v/>
      </c>
      <c r="M66" s="13">
        <f>J66*P66</f>
        <v/>
      </c>
      <c r="N66" s="13">
        <f>O66-Q66</f>
        <v/>
      </c>
      <c r="O66" s="14">
        <f>IFERROR(R66/O66,0)</f>
        <v/>
      </c>
      <c r="P66" s="2" t="inlineStr">
        <is>
          <t>Delivered</t>
        </is>
      </c>
      <c r="Q66" s="2" t="inlineStr">
        <is>
          <t>Invoice</t>
        </is>
      </c>
    </row>
    <row r="67">
      <c r="A67" s="2" t="inlineStr">
        <is>
          <t>ORD-0066</t>
        </is>
      </c>
      <c r="B67" s="12" t="n"/>
      <c r="C67" s="2">
        <f>TEXT(B67,"yyyy-mm")</f>
        <v/>
      </c>
      <c r="D67" s="2" t="inlineStr">
        <is>
          <t>Customer 32</t>
        </is>
      </c>
      <c r="E67" s="2" t="inlineStr">
        <is>
          <t>West</t>
        </is>
      </c>
      <c r="F67" s="2" t="inlineStr">
        <is>
          <t>Direct Sales</t>
        </is>
      </c>
      <c r="G67" s="2" t="inlineStr">
        <is>
          <t>Priya Shah</t>
        </is>
      </c>
      <c r="H67" s="2" t="inlineStr">
        <is>
          <t>Travel Backpack</t>
        </is>
      </c>
      <c r="I67" s="2" t="inlineStr">
        <is>
          <t>Travel</t>
        </is>
      </c>
      <c r="J67" s="13">
        <f>J67*K67</f>
        <v/>
      </c>
      <c r="K67" s="13">
        <f>M67*L67</f>
        <v/>
      </c>
      <c r="L67" s="13">
        <f>M67-N67</f>
        <v/>
      </c>
      <c r="M67" s="13">
        <f>J67*P67</f>
        <v/>
      </c>
      <c r="N67" s="13">
        <f>O67-Q67</f>
        <v/>
      </c>
      <c r="O67" s="14">
        <f>IFERROR(R67/O67,0)</f>
        <v/>
      </c>
      <c r="P67" s="2" t="inlineStr">
        <is>
          <t>Pending</t>
        </is>
      </c>
      <c r="Q67" s="2" t="inlineStr">
        <is>
          <t>Credit Card</t>
        </is>
      </c>
    </row>
    <row r="68">
      <c r="A68" s="2" t="inlineStr">
        <is>
          <t>ORD-0067</t>
        </is>
      </c>
      <c r="B68" s="12" t="n"/>
      <c r="C68" s="2">
        <f>TEXT(B68,"yyyy-mm")</f>
        <v/>
      </c>
      <c r="D68" s="2" t="inlineStr">
        <is>
          <t>Customer 33</t>
        </is>
      </c>
      <c r="E68" s="2" t="inlineStr">
        <is>
          <t>North</t>
        </is>
      </c>
      <c r="F68" s="2" t="inlineStr">
        <is>
          <t>Online</t>
        </is>
      </c>
      <c r="G68" s="2" t="inlineStr">
        <is>
          <t>Sam Patel</t>
        </is>
      </c>
      <c r="H68" s="2" t="inlineStr">
        <is>
          <t>Mouse</t>
        </is>
      </c>
      <c r="I68" s="2" t="inlineStr">
        <is>
          <t>Workspace</t>
        </is>
      </c>
      <c r="J68" s="13">
        <f>J68*K68</f>
        <v/>
      </c>
      <c r="K68" s="13">
        <f>M68*L68</f>
        <v/>
      </c>
      <c r="L68" s="13">
        <f>M68-N68</f>
        <v/>
      </c>
      <c r="M68" s="13">
        <f>J68*P68</f>
        <v/>
      </c>
      <c r="N68" s="13">
        <f>O68-Q68</f>
        <v/>
      </c>
      <c r="O68" s="14">
        <f>IFERROR(R68/O68,0)</f>
        <v/>
      </c>
      <c r="P68" s="2" t="inlineStr">
        <is>
          <t>Returned</t>
        </is>
      </c>
      <c r="Q68" s="2" t="inlineStr">
        <is>
          <t>PayPal</t>
        </is>
      </c>
    </row>
    <row r="69">
      <c r="A69" s="2" t="inlineStr">
        <is>
          <t>ORD-0068</t>
        </is>
      </c>
      <c r="B69" s="12" t="n"/>
      <c r="C69" s="2">
        <f>TEXT(B69,"yyyy-mm")</f>
        <v/>
      </c>
      <c r="D69" s="2" t="inlineStr">
        <is>
          <t>Customer 34</t>
        </is>
      </c>
      <c r="E69" s="2" t="inlineStr">
        <is>
          <t>South</t>
        </is>
      </c>
      <c r="F69" s="2" t="inlineStr">
        <is>
          <t>Retail</t>
        </is>
      </c>
      <c r="G69" s="2" t="inlineStr">
        <is>
          <t>Maya Chen</t>
        </is>
      </c>
      <c r="H69" s="2" t="inlineStr">
        <is>
          <t>Insulated Bottle</t>
        </is>
      </c>
      <c r="I69" s="2" t="inlineStr">
        <is>
          <t>Outdoor</t>
        </is>
      </c>
      <c r="J69" s="13">
        <f>J69*K69</f>
        <v/>
      </c>
      <c r="K69" s="13">
        <f>M69*L69</f>
        <v/>
      </c>
      <c r="L69" s="13">
        <f>M69-N69</f>
        <v/>
      </c>
      <c r="M69" s="13">
        <f>J69*P69</f>
        <v/>
      </c>
      <c r="N69" s="13">
        <f>O69-Q69</f>
        <v/>
      </c>
      <c r="O69" s="14">
        <f>IFERROR(R69/O69,0)</f>
        <v/>
      </c>
      <c r="P69" s="2" t="inlineStr">
        <is>
          <t>Cancelled</t>
        </is>
      </c>
      <c r="Q69" s="2" t="inlineStr">
        <is>
          <t>Bank Transfer</t>
        </is>
      </c>
    </row>
    <row r="70">
      <c r="A70" s="2" t="inlineStr">
        <is>
          <t>ORD-0069</t>
        </is>
      </c>
      <c r="B70" s="12" t="n"/>
      <c r="C70" s="2">
        <f>TEXT(B70,"yyyy-mm")</f>
        <v/>
      </c>
      <c r="D70" s="2" t="inlineStr">
        <is>
          <t>Customer 35</t>
        </is>
      </c>
      <c r="E70" s="2" t="inlineStr">
        <is>
          <t>Central</t>
        </is>
      </c>
      <c r="F70" s="2" t="inlineStr">
        <is>
          <t>Partner</t>
        </is>
      </c>
      <c r="G70" s="2" t="inlineStr">
        <is>
          <t>Jordan Lee</t>
        </is>
      </c>
      <c r="H70" s="2" t="inlineStr">
        <is>
          <t>Docking Station</t>
        </is>
      </c>
      <c r="I70" s="2" t="inlineStr">
        <is>
          <t>Workspace</t>
        </is>
      </c>
      <c r="J70" s="13">
        <f>J70*K70</f>
        <v/>
      </c>
      <c r="K70" s="13">
        <f>M70*L70</f>
        <v/>
      </c>
      <c r="L70" s="13">
        <f>M70-N70</f>
        <v/>
      </c>
      <c r="M70" s="13">
        <f>J70*P70</f>
        <v/>
      </c>
      <c r="N70" s="13">
        <f>O70-Q70</f>
        <v/>
      </c>
      <c r="O70" s="14">
        <f>IFERROR(R70/O70,0)</f>
        <v/>
      </c>
      <c r="P70" s="2" t="inlineStr">
        <is>
          <t>Delivered</t>
        </is>
      </c>
      <c r="Q70" s="2" t="inlineStr">
        <is>
          <t>Apple Pay</t>
        </is>
      </c>
    </row>
    <row r="71">
      <c r="A71" s="2" t="inlineStr">
        <is>
          <t>ORD-0070</t>
        </is>
      </c>
      <c r="B71" s="12" t="n"/>
      <c r="C71" s="2">
        <f>TEXT(B71,"yyyy-mm")</f>
        <v/>
      </c>
      <c r="D71" s="2" t="inlineStr">
        <is>
          <t>Customer 01</t>
        </is>
      </c>
      <c r="E71" s="2" t="inlineStr">
        <is>
          <t>East</t>
        </is>
      </c>
      <c r="F71" s="2" t="inlineStr">
        <is>
          <t>Direct Sales</t>
        </is>
      </c>
      <c r="G71" s="2" t="inlineStr">
        <is>
          <t>Alex Rivera</t>
        </is>
      </c>
      <c r="H71" s="2" t="inlineStr">
        <is>
          <t>Yoga Mat</t>
        </is>
      </c>
      <c r="I71" s="2" t="inlineStr">
        <is>
          <t>Fitness</t>
        </is>
      </c>
      <c r="J71" s="13">
        <f>J71*K71</f>
        <v/>
      </c>
      <c r="K71" s="13">
        <f>M71*L71</f>
        <v/>
      </c>
      <c r="L71" s="13">
        <f>M71-N71</f>
        <v/>
      </c>
      <c r="M71" s="13">
        <f>J71*P71</f>
        <v/>
      </c>
      <c r="N71" s="13">
        <f>O71-Q71</f>
        <v/>
      </c>
      <c r="O71" s="14">
        <f>IFERROR(R71/O71,0)</f>
        <v/>
      </c>
      <c r="P71" s="2" t="inlineStr">
        <is>
          <t>Delivered</t>
        </is>
      </c>
      <c r="Q71" s="2" t="inlineStr">
        <is>
          <t>Invoice</t>
        </is>
      </c>
    </row>
    <row r="72">
      <c r="A72" s="2" t="inlineStr">
        <is>
          <t>ORD-0071</t>
        </is>
      </c>
      <c r="B72" s="12" t="n"/>
      <c r="C72" s="2">
        <f>TEXT(B72,"yyyy-mm")</f>
        <v/>
      </c>
      <c r="D72" s="2" t="inlineStr">
        <is>
          <t>Customer 02</t>
        </is>
      </c>
      <c r="E72" s="2" t="inlineStr">
        <is>
          <t>West</t>
        </is>
      </c>
      <c r="F72" s="2" t="inlineStr">
        <is>
          <t>Online</t>
        </is>
      </c>
      <c r="G72" s="2" t="inlineStr">
        <is>
          <t>Priya Shah</t>
        </is>
      </c>
      <c r="H72" s="2" t="inlineStr">
        <is>
          <t>Webcam</t>
        </is>
      </c>
      <c r="I72" s="2" t="inlineStr">
        <is>
          <t>Workspace</t>
        </is>
      </c>
      <c r="J72" s="13">
        <f>J72*K72</f>
        <v/>
      </c>
      <c r="K72" s="13">
        <f>M72*L72</f>
        <v/>
      </c>
      <c r="L72" s="13">
        <f>M72-N72</f>
        <v/>
      </c>
      <c r="M72" s="13">
        <f>J72*P72</f>
        <v/>
      </c>
      <c r="N72" s="13">
        <f>O72-Q72</f>
        <v/>
      </c>
      <c r="O72" s="14">
        <f>IFERROR(R72/O72,0)</f>
        <v/>
      </c>
      <c r="P72" s="2" t="inlineStr">
        <is>
          <t>Delivered</t>
        </is>
      </c>
      <c r="Q72" s="2" t="inlineStr">
        <is>
          <t>Credit Card</t>
        </is>
      </c>
    </row>
    <row r="73">
      <c r="A73" s="2" t="inlineStr">
        <is>
          <t>ORD-0072</t>
        </is>
      </c>
      <c r="B73" s="12" t="n"/>
      <c r="C73" s="2">
        <f>TEXT(B73,"yyyy-mm")</f>
        <v/>
      </c>
      <c r="D73" s="2" t="inlineStr">
        <is>
          <t>Customer 03</t>
        </is>
      </c>
      <c r="E73" s="2" t="inlineStr">
        <is>
          <t>North</t>
        </is>
      </c>
      <c r="F73" s="2" t="inlineStr">
        <is>
          <t>Retail</t>
        </is>
      </c>
      <c r="G73" s="2" t="inlineStr">
        <is>
          <t>Sam Patel</t>
        </is>
      </c>
      <c r="H73" s="2" t="inlineStr">
        <is>
          <t>Keyboard</t>
        </is>
      </c>
      <c r="I73" s="2" t="inlineStr">
        <is>
          <t>Workspace</t>
        </is>
      </c>
      <c r="J73" s="13">
        <f>J73*K73</f>
        <v/>
      </c>
      <c r="K73" s="13">
        <f>M73*L73</f>
        <v/>
      </c>
      <c r="L73" s="13">
        <f>M73-N73</f>
        <v/>
      </c>
      <c r="M73" s="13">
        <f>J73*P73</f>
        <v/>
      </c>
      <c r="N73" s="13">
        <f>O73-Q73</f>
        <v/>
      </c>
      <c r="O73" s="14">
        <f>IFERROR(R73/O73,0)</f>
        <v/>
      </c>
      <c r="P73" s="2" t="inlineStr">
        <is>
          <t>Pending</t>
        </is>
      </c>
      <c r="Q73" s="2" t="inlineStr">
        <is>
          <t>PayPal</t>
        </is>
      </c>
    </row>
    <row r="74">
      <c r="A74" s="2" t="inlineStr">
        <is>
          <t>ORD-0073</t>
        </is>
      </c>
      <c r="B74" s="12" t="n"/>
      <c r="C74" s="2">
        <f>TEXT(B74,"yyyy-mm")</f>
        <v/>
      </c>
      <c r="D74" s="2" t="inlineStr">
        <is>
          <t>Customer 04</t>
        </is>
      </c>
      <c r="E74" s="2" t="inlineStr">
        <is>
          <t>South</t>
        </is>
      </c>
      <c r="F74" s="2" t="inlineStr">
        <is>
          <t>Partner</t>
        </is>
      </c>
      <c r="G74" s="2" t="inlineStr">
        <is>
          <t>Maya Chen</t>
        </is>
      </c>
      <c r="H74" s="2" t="inlineStr">
        <is>
          <t>Packing Cubes</t>
        </is>
      </c>
      <c r="I74" s="2" t="inlineStr">
        <is>
          <t>Travel</t>
        </is>
      </c>
      <c r="J74" s="13">
        <f>J74*K74</f>
        <v/>
      </c>
      <c r="K74" s="13">
        <f>M74*L74</f>
        <v/>
      </c>
      <c r="L74" s="13">
        <f>M74-N74</f>
        <v/>
      </c>
      <c r="M74" s="13">
        <f>J74*P74</f>
        <v/>
      </c>
      <c r="N74" s="13">
        <f>O74-Q74</f>
        <v/>
      </c>
      <c r="O74" s="14">
        <f>IFERROR(R74/O74,0)</f>
        <v/>
      </c>
      <c r="P74" s="2" t="inlineStr">
        <is>
          <t>Returned</t>
        </is>
      </c>
      <c r="Q74" s="2" t="inlineStr">
        <is>
          <t>Bank Transfer</t>
        </is>
      </c>
    </row>
    <row r="75">
      <c r="A75" s="2" t="inlineStr">
        <is>
          <t>ORD-0074</t>
        </is>
      </c>
      <c r="B75" s="12" t="n"/>
      <c r="C75" s="2">
        <f>TEXT(B75,"yyyy-mm")</f>
        <v/>
      </c>
      <c r="D75" s="2" t="inlineStr">
        <is>
          <t>Customer 05</t>
        </is>
      </c>
      <c r="E75" s="2" t="inlineStr">
        <is>
          <t>Central</t>
        </is>
      </c>
      <c r="F75" s="2" t="inlineStr">
        <is>
          <t>Direct Sales</t>
        </is>
      </c>
      <c r="G75" s="2" t="inlineStr">
        <is>
          <t>Jordan Lee</t>
        </is>
      </c>
      <c r="H75" s="2" t="inlineStr">
        <is>
          <t>Monitor</t>
        </is>
      </c>
      <c r="I75" s="2" t="inlineStr">
        <is>
          <t>Workspace</t>
        </is>
      </c>
      <c r="J75" s="13">
        <f>J75*K75</f>
        <v/>
      </c>
      <c r="K75" s="13">
        <f>M75*L75</f>
        <v/>
      </c>
      <c r="L75" s="13">
        <f>M75-N75</f>
        <v/>
      </c>
      <c r="M75" s="13">
        <f>J75*P75</f>
        <v/>
      </c>
      <c r="N75" s="13">
        <f>O75-Q75</f>
        <v/>
      </c>
      <c r="O75" s="14">
        <f>IFERROR(R75/O75,0)</f>
        <v/>
      </c>
      <c r="P75" s="2" t="inlineStr">
        <is>
          <t>Cancelled</t>
        </is>
      </c>
      <c r="Q75" s="2" t="inlineStr">
        <is>
          <t>Apple Pay</t>
        </is>
      </c>
    </row>
    <row r="76">
      <c r="A76" s="2" t="inlineStr">
        <is>
          <t>ORD-0075</t>
        </is>
      </c>
      <c r="B76" s="12" t="n"/>
      <c r="C76" s="2">
        <f>TEXT(B76,"yyyy-mm")</f>
        <v/>
      </c>
      <c r="D76" s="2" t="inlineStr">
        <is>
          <t>Customer 06</t>
        </is>
      </c>
      <c r="E76" s="2" t="inlineStr">
        <is>
          <t>East</t>
        </is>
      </c>
      <c r="F76" s="2" t="inlineStr">
        <is>
          <t>Online</t>
        </is>
      </c>
      <c r="G76" s="2" t="inlineStr">
        <is>
          <t>Alex Rivera</t>
        </is>
      </c>
      <c r="H76" s="2" t="inlineStr">
        <is>
          <t>Rain Jacket</t>
        </is>
      </c>
      <c r="I76" s="2" t="inlineStr">
        <is>
          <t>Outdoor</t>
        </is>
      </c>
      <c r="J76" s="13">
        <f>J76*K76</f>
        <v/>
      </c>
      <c r="K76" s="13">
        <f>M76*L76</f>
        <v/>
      </c>
      <c r="L76" s="13">
        <f>M76-N76</f>
        <v/>
      </c>
      <c r="M76" s="13">
        <f>J76*P76</f>
        <v/>
      </c>
      <c r="N76" s="13">
        <f>O76-Q76</f>
        <v/>
      </c>
      <c r="O76" s="14">
        <f>IFERROR(R76/O76,0)</f>
        <v/>
      </c>
      <c r="P76" s="2" t="inlineStr">
        <is>
          <t>Delivered</t>
        </is>
      </c>
      <c r="Q76" s="2" t="inlineStr">
        <is>
          <t>Invoice</t>
        </is>
      </c>
    </row>
    <row r="77">
      <c r="A77" s="2" t="inlineStr">
        <is>
          <t>ORD-0076</t>
        </is>
      </c>
      <c r="B77" s="12" t="n"/>
      <c r="C77" s="2">
        <f>TEXT(B77,"yyyy-mm")</f>
        <v/>
      </c>
      <c r="D77" s="2" t="inlineStr">
        <is>
          <t>Customer 07</t>
        </is>
      </c>
      <c r="E77" s="2" t="inlineStr">
        <is>
          <t>West</t>
        </is>
      </c>
      <c r="F77" s="2" t="inlineStr">
        <is>
          <t>Retail</t>
        </is>
      </c>
      <c r="G77" s="2" t="inlineStr">
        <is>
          <t>Priya Shah</t>
        </is>
      </c>
      <c r="H77" s="2" t="inlineStr">
        <is>
          <t>Laptop Stand</t>
        </is>
      </c>
      <c r="I77" s="2" t="inlineStr">
        <is>
          <t>Workspace</t>
        </is>
      </c>
      <c r="J77" s="13">
        <f>J77*K77</f>
        <v/>
      </c>
      <c r="K77" s="13">
        <f>M77*L77</f>
        <v/>
      </c>
      <c r="L77" s="13">
        <f>M77-N77</f>
        <v/>
      </c>
      <c r="M77" s="13">
        <f>J77*P77</f>
        <v/>
      </c>
      <c r="N77" s="13">
        <f>O77-Q77</f>
        <v/>
      </c>
      <c r="O77" s="14">
        <f>IFERROR(R77/O77,0)</f>
        <v/>
      </c>
      <c r="P77" s="2" t="inlineStr">
        <is>
          <t>Delivered</t>
        </is>
      </c>
      <c r="Q77" s="2" t="inlineStr">
        <is>
          <t>Credit Card</t>
        </is>
      </c>
    </row>
    <row r="78">
      <c r="A78" s="2" t="inlineStr">
        <is>
          <t>ORD-0077</t>
        </is>
      </c>
      <c r="B78" s="12" t="n"/>
      <c r="C78" s="2">
        <f>TEXT(B78,"yyyy-mm")</f>
        <v/>
      </c>
      <c r="D78" s="2" t="inlineStr">
        <is>
          <t>Customer 08</t>
        </is>
      </c>
      <c r="E78" s="2" t="inlineStr">
        <is>
          <t>North</t>
        </is>
      </c>
      <c r="F78" s="2" t="inlineStr">
        <is>
          <t>Partner</t>
        </is>
      </c>
      <c r="G78" s="2" t="inlineStr">
        <is>
          <t>Sam Patel</t>
        </is>
      </c>
      <c r="H78" s="2" t="inlineStr">
        <is>
          <t>Fitness Band</t>
        </is>
      </c>
      <c r="I78" s="2" t="inlineStr">
        <is>
          <t>Fitness</t>
        </is>
      </c>
      <c r="J78" s="13">
        <f>J78*K78</f>
        <v/>
      </c>
      <c r="K78" s="13">
        <f>M78*L78</f>
        <v/>
      </c>
      <c r="L78" s="13">
        <f>M78-N78</f>
        <v/>
      </c>
      <c r="M78" s="13">
        <f>J78*P78</f>
        <v/>
      </c>
      <c r="N78" s="13">
        <f>O78-Q78</f>
        <v/>
      </c>
      <c r="O78" s="14">
        <f>IFERROR(R78/O78,0)</f>
        <v/>
      </c>
      <c r="P78" s="2" t="inlineStr">
        <is>
          <t>Delivered</t>
        </is>
      </c>
      <c r="Q78" s="2" t="inlineStr">
        <is>
          <t>PayPal</t>
        </is>
      </c>
    </row>
    <row r="79">
      <c r="A79" s="2" t="inlineStr">
        <is>
          <t>ORD-0078</t>
        </is>
      </c>
      <c r="B79" s="12" t="n"/>
      <c r="C79" s="2">
        <f>TEXT(B79,"yyyy-mm")</f>
        <v/>
      </c>
      <c r="D79" s="2" t="inlineStr">
        <is>
          <t>Customer 09</t>
        </is>
      </c>
      <c r="E79" s="2" t="inlineStr">
        <is>
          <t>South</t>
        </is>
      </c>
      <c r="F79" s="2" t="inlineStr">
        <is>
          <t>Direct Sales</t>
        </is>
      </c>
      <c r="G79" s="2" t="inlineStr">
        <is>
          <t>Maya Chen</t>
        </is>
      </c>
      <c r="H79" s="2" t="inlineStr">
        <is>
          <t>Travel Backpack</t>
        </is>
      </c>
      <c r="I79" s="2" t="inlineStr">
        <is>
          <t>Travel</t>
        </is>
      </c>
      <c r="J79" s="13">
        <f>J79*K79</f>
        <v/>
      </c>
      <c r="K79" s="13">
        <f>M79*L79</f>
        <v/>
      </c>
      <c r="L79" s="13">
        <f>M79-N79</f>
        <v/>
      </c>
      <c r="M79" s="13">
        <f>J79*P79</f>
        <v/>
      </c>
      <c r="N79" s="13">
        <f>O79-Q79</f>
        <v/>
      </c>
      <c r="O79" s="14">
        <f>IFERROR(R79/O79,0)</f>
        <v/>
      </c>
      <c r="P79" s="2" t="inlineStr">
        <is>
          <t>Pending</t>
        </is>
      </c>
      <c r="Q79" s="2" t="inlineStr">
        <is>
          <t>Bank Transfer</t>
        </is>
      </c>
    </row>
    <row r="80">
      <c r="A80" s="2" t="inlineStr">
        <is>
          <t>ORD-0079</t>
        </is>
      </c>
      <c r="B80" s="12" t="n"/>
      <c r="C80" s="2">
        <f>TEXT(B80,"yyyy-mm")</f>
        <v/>
      </c>
      <c r="D80" s="2" t="inlineStr">
        <is>
          <t>Customer 10</t>
        </is>
      </c>
      <c r="E80" s="2" t="inlineStr">
        <is>
          <t>Central</t>
        </is>
      </c>
      <c r="F80" s="2" t="inlineStr">
        <is>
          <t>Online</t>
        </is>
      </c>
      <c r="G80" s="2" t="inlineStr">
        <is>
          <t>Jordan Lee</t>
        </is>
      </c>
      <c r="H80" s="2" t="inlineStr">
        <is>
          <t>Mouse</t>
        </is>
      </c>
      <c r="I80" s="2" t="inlineStr">
        <is>
          <t>Workspace</t>
        </is>
      </c>
      <c r="J80" s="13">
        <f>J80*K80</f>
        <v/>
      </c>
      <c r="K80" s="13">
        <f>M80*L80</f>
        <v/>
      </c>
      <c r="L80" s="13">
        <f>M80-N80</f>
        <v/>
      </c>
      <c r="M80" s="13">
        <f>J80*P80</f>
        <v/>
      </c>
      <c r="N80" s="13">
        <f>O80-Q80</f>
        <v/>
      </c>
      <c r="O80" s="14">
        <f>IFERROR(R80/O80,0)</f>
        <v/>
      </c>
      <c r="P80" s="2" t="inlineStr">
        <is>
          <t>Returned</t>
        </is>
      </c>
      <c r="Q80" s="2" t="inlineStr">
        <is>
          <t>Apple Pay</t>
        </is>
      </c>
    </row>
    <row r="81">
      <c r="A81" s="2" t="inlineStr">
        <is>
          <t>ORD-0080</t>
        </is>
      </c>
      <c r="B81" s="12" t="n"/>
      <c r="C81" s="2">
        <f>TEXT(B81,"yyyy-mm")</f>
        <v/>
      </c>
      <c r="D81" s="2" t="inlineStr">
        <is>
          <t>Customer 11</t>
        </is>
      </c>
      <c r="E81" s="2" t="inlineStr">
        <is>
          <t>East</t>
        </is>
      </c>
      <c r="F81" s="2" t="inlineStr">
        <is>
          <t>Retail</t>
        </is>
      </c>
      <c r="G81" s="2" t="inlineStr">
        <is>
          <t>Alex Rivera</t>
        </is>
      </c>
      <c r="H81" s="2" t="inlineStr">
        <is>
          <t>Insulated Bottle</t>
        </is>
      </c>
      <c r="I81" s="2" t="inlineStr">
        <is>
          <t>Outdoor</t>
        </is>
      </c>
      <c r="J81" s="13">
        <f>J81*K81</f>
        <v/>
      </c>
      <c r="K81" s="13">
        <f>M81*L81</f>
        <v/>
      </c>
      <c r="L81" s="13">
        <f>M81-N81</f>
        <v/>
      </c>
      <c r="M81" s="13">
        <f>J81*P81</f>
        <v/>
      </c>
      <c r="N81" s="13">
        <f>O81-Q81</f>
        <v/>
      </c>
      <c r="O81" s="14">
        <f>IFERROR(R81/O81,0)</f>
        <v/>
      </c>
      <c r="P81" s="2" t="inlineStr">
        <is>
          <t>Cancelled</t>
        </is>
      </c>
      <c r="Q81" s="2" t="inlineStr">
        <is>
          <t>Invoice</t>
        </is>
      </c>
    </row>
    <row r="82">
      <c r="A82" s="2" t="inlineStr">
        <is>
          <t>ORD-0081</t>
        </is>
      </c>
      <c r="B82" s="12" t="n"/>
      <c r="C82" s="2">
        <f>TEXT(B82,"yyyy-mm")</f>
        <v/>
      </c>
      <c r="D82" s="2" t="inlineStr">
        <is>
          <t>Customer 12</t>
        </is>
      </c>
      <c r="E82" s="2" t="inlineStr">
        <is>
          <t>West</t>
        </is>
      </c>
      <c r="F82" s="2" t="inlineStr">
        <is>
          <t>Partner</t>
        </is>
      </c>
      <c r="G82" s="2" t="inlineStr">
        <is>
          <t>Priya Shah</t>
        </is>
      </c>
      <c r="H82" s="2" t="inlineStr">
        <is>
          <t>Docking Station</t>
        </is>
      </c>
      <c r="I82" s="2" t="inlineStr">
        <is>
          <t>Workspace</t>
        </is>
      </c>
      <c r="J82" s="13">
        <f>J82*K82</f>
        <v/>
      </c>
      <c r="K82" s="13">
        <f>M82*L82</f>
        <v/>
      </c>
      <c r="L82" s="13">
        <f>M82-N82</f>
        <v/>
      </c>
      <c r="M82" s="13">
        <f>J82*P82</f>
        <v/>
      </c>
      <c r="N82" s="13">
        <f>O82-Q82</f>
        <v/>
      </c>
      <c r="O82" s="14">
        <f>IFERROR(R82/O82,0)</f>
        <v/>
      </c>
      <c r="P82" s="2" t="inlineStr">
        <is>
          <t>Delivered</t>
        </is>
      </c>
      <c r="Q82" s="2" t="inlineStr">
        <is>
          <t>Credit Card</t>
        </is>
      </c>
    </row>
    <row r="83">
      <c r="A83" s="2" t="inlineStr">
        <is>
          <t>ORD-0082</t>
        </is>
      </c>
      <c r="B83" s="12" t="n"/>
      <c r="C83" s="2">
        <f>TEXT(B83,"yyyy-mm")</f>
        <v/>
      </c>
      <c r="D83" s="2" t="inlineStr">
        <is>
          <t>Customer 13</t>
        </is>
      </c>
      <c r="E83" s="2" t="inlineStr">
        <is>
          <t>North</t>
        </is>
      </c>
      <c r="F83" s="2" t="inlineStr">
        <is>
          <t>Direct Sales</t>
        </is>
      </c>
      <c r="G83" s="2" t="inlineStr">
        <is>
          <t>Sam Patel</t>
        </is>
      </c>
      <c r="H83" s="2" t="inlineStr">
        <is>
          <t>Yoga Mat</t>
        </is>
      </c>
      <c r="I83" s="2" t="inlineStr">
        <is>
          <t>Fitness</t>
        </is>
      </c>
      <c r="J83" s="13">
        <f>J83*K83</f>
        <v/>
      </c>
      <c r="K83" s="13">
        <f>M83*L83</f>
        <v/>
      </c>
      <c r="L83" s="13">
        <f>M83-N83</f>
        <v/>
      </c>
      <c r="M83" s="13">
        <f>J83*P83</f>
        <v/>
      </c>
      <c r="N83" s="13">
        <f>O83-Q83</f>
        <v/>
      </c>
      <c r="O83" s="14">
        <f>IFERROR(R83/O83,0)</f>
        <v/>
      </c>
      <c r="P83" s="2" t="inlineStr">
        <is>
          <t>Delivered</t>
        </is>
      </c>
      <c r="Q83" s="2" t="inlineStr">
        <is>
          <t>PayPal</t>
        </is>
      </c>
    </row>
    <row r="84">
      <c r="A84" s="2" t="inlineStr">
        <is>
          <t>ORD-0083</t>
        </is>
      </c>
      <c r="B84" s="12" t="n"/>
      <c r="C84" s="2">
        <f>TEXT(B84,"yyyy-mm")</f>
        <v/>
      </c>
      <c r="D84" s="2" t="inlineStr">
        <is>
          <t>Customer 14</t>
        </is>
      </c>
      <c r="E84" s="2" t="inlineStr">
        <is>
          <t>South</t>
        </is>
      </c>
      <c r="F84" s="2" t="inlineStr">
        <is>
          <t>Online</t>
        </is>
      </c>
      <c r="G84" s="2" t="inlineStr">
        <is>
          <t>Maya Chen</t>
        </is>
      </c>
      <c r="H84" s="2" t="inlineStr">
        <is>
          <t>Webcam</t>
        </is>
      </c>
      <c r="I84" s="2" t="inlineStr">
        <is>
          <t>Workspace</t>
        </is>
      </c>
      <c r="J84" s="13">
        <f>J84*K84</f>
        <v/>
      </c>
      <c r="K84" s="13">
        <f>M84*L84</f>
        <v/>
      </c>
      <c r="L84" s="13">
        <f>M84-N84</f>
        <v/>
      </c>
      <c r="M84" s="13">
        <f>J84*P84</f>
        <v/>
      </c>
      <c r="N84" s="13">
        <f>O84-Q84</f>
        <v/>
      </c>
      <c r="O84" s="14">
        <f>IFERROR(R84/O84,0)</f>
        <v/>
      </c>
      <c r="P84" s="2" t="inlineStr">
        <is>
          <t>Delivered</t>
        </is>
      </c>
      <c r="Q84" s="2" t="inlineStr">
        <is>
          <t>Bank Transfer</t>
        </is>
      </c>
    </row>
    <row r="85">
      <c r="A85" s="2" t="inlineStr">
        <is>
          <t>ORD-0084</t>
        </is>
      </c>
      <c r="B85" s="12" t="n"/>
      <c r="C85" s="2">
        <f>TEXT(B85,"yyyy-mm")</f>
        <v/>
      </c>
      <c r="D85" s="2" t="inlineStr">
        <is>
          <t>Customer 15</t>
        </is>
      </c>
      <c r="E85" s="2" t="inlineStr">
        <is>
          <t>Central</t>
        </is>
      </c>
      <c r="F85" s="2" t="inlineStr">
        <is>
          <t>Retail</t>
        </is>
      </c>
      <c r="G85" s="2" t="inlineStr">
        <is>
          <t>Jordan Lee</t>
        </is>
      </c>
      <c r="H85" s="2" t="inlineStr">
        <is>
          <t>Keyboard</t>
        </is>
      </c>
      <c r="I85" s="2" t="inlineStr">
        <is>
          <t>Workspace</t>
        </is>
      </c>
      <c r="J85" s="13">
        <f>J85*K85</f>
        <v/>
      </c>
      <c r="K85" s="13">
        <f>M85*L85</f>
        <v/>
      </c>
      <c r="L85" s="13">
        <f>M85-N85</f>
        <v/>
      </c>
      <c r="M85" s="13">
        <f>J85*P85</f>
        <v/>
      </c>
      <c r="N85" s="13">
        <f>O85-Q85</f>
        <v/>
      </c>
      <c r="O85" s="14">
        <f>IFERROR(R85/O85,0)</f>
        <v/>
      </c>
      <c r="P85" s="2" t="inlineStr">
        <is>
          <t>Pending</t>
        </is>
      </c>
      <c r="Q85" s="2" t="inlineStr">
        <is>
          <t>Apple Pay</t>
        </is>
      </c>
    </row>
    <row r="86">
      <c r="A86" s="2" t="inlineStr">
        <is>
          <t>ORD-0085</t>
        </is>
      </c>
      <c r="B86" s="12" t="n"/>
      <c r="C86" s="2">
        <f>TEXT(B86,"yyyy-mm")</f>
        <v/>
      </c>
      <c r="D86" s="2" t="inlineStr">
        <is>
          <t>Customer 16</t>
        </is>
      </c>
      <c r="E86" s="2" t="inlineStr">
        <is>
          <t>East</t>
        </is>
      </c>
      <c r="F86" s="2" t="inlineStr">
        <is>
          <t>Partner</t>
        </is>
      </c>
      <c r="G86" s="2" t="inlineStr">
        <is>
          <t>Alex Rivera</t>
        </is>
      </c>
      <c r="H86" s="2" t="inlineStr">
        <is>
          <t>Packing Cubes</t>
        </is>
      </c>
      <c r="I86" s="2" t="inlineStr">
        <is>
          <t>Travel</t>
        </is>
      </c>
      <c r="J86" s="13">
        <f>J86*K86</f>
        <v/>
      </c>
      <c r="K86" s="13">
        <f>M86*L86</f>
        <v/>
      </c>
      <c r="L86" s="13">
        <f>M86-N86</f>
        <v/>
      </c>
      <c r="M86" s="13">
        <f>J86*P86</f>
        <v/>
      </c>
      <c r="N86" s="13">
        <f>O86-Q86</f>
        <v/>
      </c>
      <c r="O86" s="14">
        <f>IFERROR(R86/O86,0)</f>
        <v/>
      </c>
      <c r="P86" s="2" t="inlineStr">
        <is>
          <t>Returned</t>
        </is>
      </c>
      <c r="Q86" s="2" t="inlineStr">
        <is>
          <t>Invoice</t>
        </is>
      </c>
    </row>
    <row r="87">
      <c r="A87" s="2" t="inlineStr">
        <is>
          <t>ORD-0086</t>
        </is>
      </c>
      <c r="B87" s="12" t="n"/>
      <c r="C87" s="2">
        <f>TEXT(B87,"yyyy-mm")</f>
        <v/>
      </c>
      <c r="D87" s="2" t="inlineStr">
        <is>
          <t>Customer 17</t>
        </is>
      </c>
      <c r="E87" s="2" t="inlineStr">
        <is>
          <t>West</t>
        </is>
      </c>
      <c r="F87" s="2" t="inlineStr">
        <is>
          <t>Direct Sales</t>
        </is>
      </c>
      <c r="G87" s="2" t="inlineStr">
        <is>
          <t>Priya Shah</t>
        </is>
      </c>
      <c r="H87" s="2" t="inlineStr">
        <is>
          <t>Monitor</t>
        </is>
      </c>
      <c r="I87" s="2" t="inlineStr">
        <is>
          <t>Workspace</t>
        </is>
      </c>
      <c r="J87" s="13">
        <f>J87*K87</f>
        <v/>
      </c>
      <c r="K87" s="13">
        <f>M87*L87</f>
        <v/>
      </c>
      <c r="L87" s="13">
        <f>M87-N87</f>
        <v/>
      </c>
      <c r="M87" s="13">
        <f>J87*P87</f>
        <v/>
      </c>
      <c r="N87" s="13">
        <f>O87-Q87</f>
        <v/>
      </c>
      <c r="O87" s="14">
        <f>IFERROR(R87/O87,0)</f>
        <v/>
      </c>
      <c r="P87" s="2" t="inlineStr">
        <is>
          <t>Cancelled</t>
        </is>
      </c>
      <c r="Q87" s="2" t="inlineStr">
        <is>
          <t>Credit Card</t>
        </is>
      </c>
    </row>
    <row r="88">
      <c r="A88" s="2" t="inlineStr">
        <is>
          <t>ORD-0087</t>
        </is>
      </c>
      <c r="B88" s="12" t="n"/>
      <c r="C88" s="2">
        <f>TEXT(B88,"yyyy-mm")</f>
        <v/>
      </c>
      <c r="D88" s="2" t="inlineStr">
        <is>
          <t>Customer 18</t>
        </is>
      </c>
      <c r="E88" s="2" t="inlineStr">
        <is>
          <t>North</t>
        </is>
      </c>
      <c r="F88" s="2" t="inlineStr">
        <is>
          <t>Online</t>
        </is>
      </c>
      <c r="G88" s="2" t="inlineStr">
        <is>
          <t>Sam Patel</t>
        </is>
      </c>
      <c r="H88" s="2" t="inlineStr">
        <is>
          <t>Rain Jacket</t>
        </is>
      </c>
      <c r="I88" s="2" t="inlineStr">
        <is>
          <t>Outdoor</t>
        </is>
      </c>
      <c r="J88" s="13">
        <f>J88*K88</f>
        <v/>
      </c>
      <c r="K88" s="13">
        <f>M88*L88</f>
        <v/>
      </c>
      <c r="L88" s="13">
        <f>M88-N88</f>
        <v/>
      </c>
      <c r="M88" s="13">
        <f>J88*P88</f>
        <v/>
      </c>
      <c r="N88" s="13">
        <f>O88-Q88</f>
        <v/>
      </c>
      <c r="O88" s="14">
        <f>IFERROR(R88/O88,0)</f>
        <v/>
      </c>
      <c r="P88" s="2" t="inlineStr">
        <is>
          <t>Delivered</t>
        </is>
      </c>
      <c r="Q88" s="2" t="inlineStr">
        <is>
          <t>PayPal</t>
        </is>
      </c>
    </row>
    <row r="89">
      <c r="A89" s="2" t="inlineStr">
        <is>
          <t>ORD-0088</t>
        </is>
      </c>
      <c r="B89" s="12" t="n"/>
      <c r="C89" s="2">
        <f>TEXT(B89,"yyyy-mm")</f>
        <v/>
      </c>
      <c r="D89" s="2" t="inlineStr">
        <is>
          <t>Customer 19</t>
        </is>
      </c>
      <c r="E89" s="2" t="inlineStr">
        <is>
          <t>South</t>
        </is>
      </c>
      <c r="F89" s="2" t="inlineStr">
        <is>
          <t>Retail</t>
        </is>
      </c>
      <c r="G89" s="2" t="inlineStr">
        <is>
          <t>Maya Chen</t>
        </is>
      </c>
      <c r="H89" s="2" t="inlineStr">
        <is>
          <t>Laptop Stand</t>
        </is>
      </c>
      <c r="I89" s="2" t="inlineStr">
        <is>
          <t>Workspace</t>
        </is>
      </c>
      <c r="J89" s="13">
        <f>J89*K89</f>
        <v/>
      </c>
      <c r="K89" s="13">
        <f>M89*L89</f>
        <v/>
      </c>
      <c r="L89" s="13">
        <f>M89-N89</f>
        <v/>
      </c>
      <c r="M89" s="13">
        <f>J89*P89</f>
        <v/>
      </c>
      <c r="N89" s="13">
        <f>O89-Q89</f>
        <v/>
      </c>
      <c r="O89" s="14">
        <f>IFERROR(R89/O89,0)</f>
        <v/>
      </c>
      <c r="P89" s="2" t="inlineStr">
        <is>
          <t>Delivered</t>
        </is>
      </c>
      <c r="Q89" s="2" t="inlineStr">
        <is>
          <t>Bank Transfer</t>
        </is>
      </c>
    </row>
    <row r="90">
      <c r="A90" s="2" t="inlineStr">
        <is>
          <t>ORD-0089</t>
        </is>
      </c>
      <c r="B90" s="12" t="n"/>
      <c r="C90" s="2">
        <f>TEXT(B90,"yyyy-mm")</f>
        <v/>
      </c>
      <c r="D90" s="2" t="inlineStr">
        <is>
          <t>Customer 20</t>
        </is>
      </c>
      <c r="E90" s="2" t="inlineStr">
        <is>
          <t>Central</t>
        </is>
      </c>
      <c r="F90" s="2" t="inlineStr">
        <is>
          <t>Partner</t>
        </is>
      </c>
      <c r="G90" s="2" t="inlineStr">
        <is>
          <t>Jordan Lee</t>
        </is>
      </c>
      <c r="H90" s="2" t="inlineStr">
        <is>
          <t>Fitness Band</t>
        </is>
      </c>
      <c r="I90" s="2" t="inlineStr">
        <is>
          <t>Fitness</t>
        </is>
      </c>
      <c r="J90" s="13">
        <f>J90*K90</f>
        <v/>
      </c>
      <c r="K90" s="13">
        <f>M90*L90</f>
        <v/>
      </c>
      <c r="L90" s="13">
        <f>M90-N90</f>
        <v/>
      </c>
      <c r="M90" s="13">
        <f>J90*P90</f>
        <v/>
      </c>
      <c r="N90" s="13">
        <f>O90-Q90</f>
        <v/>
      </c>
      <c r="O90" s="14">
        <f>IFERROR(R90/O90,0)</f>
        <v/>
      </c>
      <c r="P90" s="2" t="inlineStr">
        <is>
          <t>Delivered</t>
        </is>
      </c>
      <c r="Q90" s="2" t="inlineStr">
        <is>
          <t>Apple Pay</t>
        </is>
      </c>
    </row>
    <row r="91">
      <c r="A91" s="2" t="inlineStr">
        <is>
          <t>ORD-0090</t>
        </is>
      </c>
      <c r="B91" s="12" t="n"/>
      <c r="C91" s="2">
        <f>TEXT(B91,"yyyy-mm")</f>
        <v/>
      </c>
      <c r="D91" s="2" t="inlineStr">
        <is>
          <t>Customer 21</t>
        </is>
      </c>
      <c r="E91" s="2" t="inlineStr">
        <is>
          <t>East</t>
        </is>
      </c>
      <c r="F91" s="2" t="inlineStr">
        <is>
          <t>Direct Sales</t>
        </is>
      </c>
      <c r="G91" s="2" t="inlineStr">
        <is>
          <t>Alex Rivera</t>
        </is>
      </c>
      <c r="H91" s="2" t="inlineStr">
        <is>
          <t>Travel Backpack</t>
        </is>
      </c>
      <c r="I91" s="2" t="inlineStr">
        <is>
          <t>Travel</t>
        </is>
      </c>
      <c r="J91" s="13">
        <f>J91*K91</f>
        <v/>
      </c>
      <c r="K91" s="13">
        <f>M91*L91</f>
        <v/>
      </c>
      <c r="L91" s="13">
        <f>M91-N91</f>
        <v/>
      </c>
      <c r="M91" s="13">
        <f>J91*P91</f>
        <v/>
      </c>
      <c r="N91" s="13">
        <f>O91-Q91</f>
        <v/>
      </c>
      <c r="O91" s="14">
        <f>IFERROR(R91/O91,0)</f>
        <v/>
      </c>
      <c r="P91" s="2" t="inlineStr">
        <is>
          <t>Pending</t>
        </is>
      </c>
      <c r="Q91" s="2" t="inlineStr">
        <is>
          <t>Invoice</t>
        </is>
      </c>
    </row>
    <row r="92">
      <c r="A92" s="2" t="inlineStr">
        <is>
          <t>ORD-0091</t>
        </is>
      </c>
      <c r="B92" s="12" t="n"/>
      <c r="C92" s="2">
        <f>TEXT(B92,"yyyy-mm")</f>
        <v/>
      </c>
      <c r="D92" s="2" t="inlineStr">
        <is>
          <t>Customer 22</t>
        </is>
      </c>
      <c r="E92" s="2" t="inlineStr">
        <is>
          <t>West</t>
        </is>
      </c>
      <c r="F92" s="2" t="inlineStr">
        <is>
          <t>Online</t>
        </is>
      </c>
      <c r="G92" s="2" t="inlineStr">
        <is>
          <t>Priya Shah</t>
        </is>
      </c>
      <c r="H92" s="2" t="inlineStr">
        <is>
          <t>Mouse</t>
        </is>
      </c>
      <c r="I92" s="2" t="inlineStr">
        <is>
          <t>Workspace</t>
        </is>
      </c>
      <c r="J92" s="13">
        <f>J92*K92</f>
        <v/>
      </c>
      <c r="K92" s="13">
        <f>M92*L92</f>
        <v/>
      </c>
      <c r="L92" s="13">
        <f>M92-N92</f>
        <v/>
      </c>
      <c r="M92" s="13">
        <f>J92*P92</f>
        <v/>
      </c>
      <c r="N92" s="13">
        <f>O92-Q92</f>
        <v/>
      </c>
      <c r="O92" s="14">
        <f>IFERROR(R92/O92,0)</f>
        <v/>
      </c>
      <c r="P92" s="2" t="inlineStr">
        <is>
          <t>Returned</t>
        </is>
      </c>
      <c r="Q92" s="2" t="inlineStr">
        <is>
          <t>Credit Card</t>
        </is>
      </c>
    </row>
    <row r="93">
      <c r="A93" s="2" t="inlineStr">
        <is>
          <t>ORD-0092</t>
        </is>
      </c>
      <c r="B93" s="12" t="n"/>
      <c r="C93" s="2">
        <f>TEXT(B93,"yyyy-mm")</f>
        <v/>
      </c>
      <c r="D93" s="2" t="inlineStr">
        <is>
          <t>Customer 23</t>
        </is>
      </c>
      <c r="E93" s="2" t="inlineStr">
        <is>
          <t>North</t>
        </is>
      </c>
      <c r="F93" s="2" t="inlineStr">
        <is>
          <t>Retail</t>
        </is>
      </c>
      <c r="G93" s="2" t="inlineStr">
        <is>
          <t>Sam Patel</t>
        </is>
      </c>
      <c r="H93" s="2" t="inlineStr">
        <is>
          <t>Insulated Bottle</t>
        </is>
      </c>
      <c r="I93" s="2" t="inlineStr">
        <is>
          <t>Outdoor</t>
        </is>
      </c>
      <c r="J93" s="13">
        <f>J93*K93</f>
        <v/>
      </c>
      <c r="K93" s="13">
        <f>M93*L93</f>
        <v/>
      </c>
      <c r="L93" s="13">
        <f>M93-N93</f>
        <v/>
      </c>
      <c r="M93" s="13">
        <f>J93*P93</f>
        <v/>
      </c>
      <c r="N93" s="13">
        <f>O93-Q93</f>
        <v/>
      </c>
      <c r="O93" s="14">
        <f>IFERROR(R93/O93,0)</f>
        <v/>
      </c>
      <c r="P93" s="2" t="inlineStr">
        <is>
          <t>Cancelled</t>
        </is>
      </c>
      <c r="Q93" s="2" t="inlineStr">
        <is>
          <t>PayPal</t>
        </is>
      </c>
    </row>
    <row r="94">
      <c r="A94" s="2" t="inlineStr">
        <is>
          <t>ORD-0093</t>
        </is>
      </c>
      <c r="B94" s="12" t="n"/>
      <c r="C94" s="2">
        <f>TEXT(B94,"yyyy-mm")</f>
        <v/>
      </c>
      <c r="D94" s="2" t="inlineStr">
        <is>
          <t>Customer 24</t>
        </is>
      </c>
      <c r="E94" s="2" t="inlineStr">
        <is>
          <t>South</t>
        </is>
      </c>
      <c r="F94" s="2" t="inlineStr">
        <is>
          <t>Partner</t>
        </is>
      </c>
      <c r="G94" s="2" t="inlineStr">
        <is>
          <t>Maya Chen</t>
        </is>
      </c>
      <c r="H94" s="2" t="inlineStr">
        <is>
          <t>Docking Station</t>
        </is>
      </c>
      <c r="I94" s="2" t="inlineStr">
        <is>
          <t>Workspace</t>
        </is>
      </c>
      <c r="J94" s="13">
        <f>J94*K94</f>
        <v/>
      </c>
      <c r="K94" s="13">
        <f>M94*L94</f>
        <v/>
      </c>
      <c r="L94" s="13">
        <f>M94-N94</f>
        <v/>
      </c>
      <c r="M94" s="13">
        <f>J94*P94</f>
        <v/>
      </c>
      <c r="N94" s="13">
        <f>O94-Q94</f>
        <v/>
      </c>
      <c r="O94" s="14">
        <f>IFERROR(R94/O94,0)</f>
        <v/>
      </c>
      <c r="P94" s="2" t="inlineStr">
        <is>
          <t>Delivered</t>
        </is>
      </c>
      <c r="Q94" s="2" t="inlineStr">
        <is>
          <t>Bank Transfer</t>
        </is>
      </c>
    </row>
    <row r="95">
      <c r="A95" s="2" t="inlineStr">
        <is>
          <t>ORD-0094</t>
        </is>
      </c>
      <c r="B95" s="12" t="n"/>
      <c r="C95" s="2">
        <f>TEXT(B95,"yyyy-mm")</f>
        <v/>
      </c>
      <c r="D95" s="2" t="inlineStr">
        <is>
          <t>Customer 25</t>
        </is>
      </c>
      <c r="E95" s="2" t="inlineStr">
        <is>
          <t>Central</t>
        </is>
      </c>
      <c r="F95" s="2" t="inlineStr">
        <is>
          <t>Direct Sales</t>
        </is>
      </c>
      <c r="G95" s="2" t="inlineStr">
        <is>
          <t>Jordan Lee</t>
        </is>
      </c>
      <c r="H95" s="2" t="inlineStr">
        <is>
          <t>Yoga Mat</t>
        </is>
      </c>
      <c r="I95" s="2" t="inlineStr">
        <is>
          <t>Fitness</t>
        </is>
      </c>
      <c r="J95" s="13">
        <f>J95*K95</f>
        <v/>
      </c>
      <c r="K95" s="13">
        <f>M95*L95</f>
        <v/>
      </c>
      <c r="L95" s="13">
        <f>M95-N95</f>
        <v/>
      </c>
      <c r="M95" s="13">
        <f>J95*P95</f>
        <v/>
      </c>
      <c r="N95" s="13">
        <f>O95-Q95</f>
        <v/>
      </c>
      <c r="O95" s="14">
        <f>IFERROR(R95/O95,0)</f>
        <v/>
      </c>
      <c r="P95" s="2" t="inlineStr">
        <is>
          <t>Delivered</t>
        </is>
      </c>
      <c r="Q95" s="2" t="inlineStr">
        <is>
          <t>Apple Pay</t>
        </is>
      </c>
    </row>
    <row r="96">
      <c r="A96" s="2" t="inlineStr">
        <is>
          <t>ORD-0095</t>
        </is>
      </c>
      <c r="B96" s="12" t="n"/>
      <c r="C96" s="2">
        <f>TEXT(B96,"yyyy-mm")</f>
        <v/>
      </c>
      <c r="D96" s="2" t="inlineStr">
        <is>
          <t>Customer 26</t>
        </is>
      </c>
      <c r="E96" s="2" t="inlineStr">
        <is>
          <t>East</t>
        </is>
      </c>
      <c r="F96" s="2" t="inlineStr">
        <is>
          <t>Online</t>
        </is>
      </c>
      <c r="G96" s="2" t="inlineStr">
        <is>
          <t>Alex Rivera</t>
        </is>
      </c>
      <c r="H96" s="2" t="inlineStr">
        <is>
          <t>Webcam</t>
        </is>
      </c>
      <c r="I96" s="2" t="inlineStr">
        <is>
          <t>Workspace</t>
        </is>
      </c>
      <c r="J96" s="13">
        <f>J96*K96</f>
        <v/>
      </c>
      <c r="K96" s="13">
        <f>M96*L96</f>
        <v/>
      </c>
      <c r="L96" s="13">
        <f>M96-N96</f>
        <v/>
      </c>
      <c r="M96" s="13">
        <f>J96*P96</f>
        <v/>
      </c>
      <c r="N96" s="13">
        <f>O96-Q96</f>
        <v/>
      </c>
      <c r="O96" s="14">
        <f>IFERROR(R96/O96,0)</f>
        <v/>
      </c>
      <c r="P96" s="2" t="inlineStr">
        <is>
          <t>Delivered</t>
        </is>
      </c>
      <c r="Q96" s="2" t="inlineStr">
        <is>
          <t>Invoice</t>
        </is>
      </c>
    </row>
    <row r="97">
      <c r="A97" s="2" t="inlineStr">
        <is>
          <t>ORD-0096</t>
        </is>
      </c>
      <c r="B97" s="12" t="n"/>
      <c r="C97" s="2">
        <f>TEXT(B97,"yyyy-mm")</f>
        <v/>
      </c>
      <c r="D97" s="2" t="inlineStr">
        <is>
          <t>Customer 27</t>
        </is>
      </c>
      <c r="E97" s="2" t="inlineStr">
        <is>
          <t>West</t>
        </is>
      </c>
      <c r="F97" s="2" t="inlineStr">
        <is>
          <t>Retail</t>
        </is>
      </c>
      <c r="G97" s="2" t="inlineStr">
        <is>
          <t>Priya Shah</t>
        </is>
      </c>
      <c r="H97" s="2" t="inlineStr">
        <is>
          <t>Keyboard</t>
        </is>
      </c>
      <c r="I97" s="2" t="inlineStr">
        <is>
          <t>Workspace</t>
        </is>
      </c>
      <c r="J97" s="13">
        <f>J97*K97</f>
        <v/>
      </c>
      <c r="K97" s="13">
        <f>M97*L97</f>
        <v/>
      </c>
      <c r="L97" s="13">
        <f>M97-N97</f>
        <v/>
      </c>
      <c r="M97" s="13">
        <f>J97*P97</f>
        <v/>
      </c>
      <c r="N97" s="13">
        <f>O97-Q97</f>
        <v/>
      </c>
      <c r="O97" s="14">
        <f>IFERROR(R97/O97,0)</f>
        <v/>
      </c>
      <c r="P97" s="2" t="inlineStr">
        <is>
          <t>Pending</t>
        </is>
      </c>
      <c r="Q97" s="2" t="inlineStr">
        <is>
          <t>Credit Card</t>
        </is>
      </c>
    </row>
    <row r="98">
      <c r="A98" s="2" t="inlineStr">
        <is>
          <t>ORD-0097</t>
        </is>
      </c>
      <c r="B98" s="12" t="n"/>
      <c r="C98" s="2">
        <f>TEXT(B98,"yyyy-mm")</f>
        <v/>
      </c>
      <c r="D98" s="2" t="inlineStr">
        <is>
          <t>Customer 28</t>
        </is>
      </c>
      <c r="E98" s="2" t="inlineStr">
        <is>
          <t>North</t>
        </is>
      </c>
      <c r="F98" s="2" t="inlineStr">
        <is>
          <t>Partner</t>
        </is>
      </c>
      <c r="G98" s="2" t="inlineStr">
        <is>
          <t>Sam Patel</t>
        </is>
      </c>
      <c r="H98" s="2" t="inlineStr">
        <is>
          <t>Packing Cubes</t>
        </is>
      </c>
      <c r="I98" s="2" t="inlineStr">
        <is>
          <t>Travel</t>
        </is>
      </c>
      <c r="J98" s="13">
        <f>J98*K98</f>
        <v/>
      </c>
      <c r="K98" s="13">
        <f>M98*L98</f>
        <v/>
      </c>
      <c r="L98" s="13">
        <f>M98-N98</f>
        <v/>
      </c>
      <c r="M98" s="13">
        <f>J98*P98</f>
        <v/>
      </c>
      <c r="N98" s="13">
        <f>O98-Q98</f>
        <v/>
      </c>
      <c r="O98" s="14">
        <f>IFERROR(R98/O98,0)</f>
        <v/>
      </c>
      <c r="P98" s="2" t="inlineStr">
        <is>
          <t>Returned</t>
        </is>
      </c>
      <c r="Q98" s="2" t="inlineStr">
        <is>
          <t>PayPal</t>
        </is>
      </c>
    </row>
    <row r="99">
      <c r="A99" s="2" t="inlineStr">
        <is>
          <t>ORD-0098</t>
        </is>
      </c>
      <c r="B99" s="12" t="n"/>
      <c r="C99" s="2">
        <f>TEXT(B99,"yyyy-mm")</f>
        <v/>
      </c>
      <c r="D99" s="2" t="inlineStr">
        <is>
          <t>Customer 29</t>
        </is>
      </c>
      <c r="E99" s="2" t="inlineStr">
        <is>
          <t>South</t>
        </is>
      </c>
      <c r="F99" s="2" t="inlineStr">
        <is>
          <t>Direct Sales</t>
        </is>
      </c>
      <c r="G99" s="2" t="inlineStr">
        <is>
          <t>Maya Chen</t>
        </is>
      </c>
      <c r="H99" s="2" t="inlineStr">
        <is>
          <t>Monitor</t>
        </is>
      </c>
      <c r="I99" s="2" t="inlineStr">
        <is>
          <t>Workspace</t>
        </is>
      </c>
      <c r="J99" s="13">
        <f>J99*K99</f>
        <v/>
      </c>
      <c r="K99" s="13">
        <f>M99*L99</f>
        <v/>
      </c>
      <c r="L99" s="13">
        <f>M99-N99</f>
        <v/>
      </c>
      <c r="M99" s="13">
        <f>J99*P99</f>
        <v/>
      </c>
      <c r="N99" s="13">
        <f>O99-Q99</f>
        <v/>
      </c>
      <c r="O99" s="14">
        <f>IFERROR(R99/O99,0)</f>
        <v/>
      </c>
      <c r="P99" s="2" t="inlineStr">
        <is>
          <t>Cancelled</t>
        </is>
      </c>
      <c r="Q99" s="2" t="inlineStr">
        <is>
          <t>Bank Transfer</t>
        </is>
      </c>
    </row>
    <row r="100">
      <c r="A100" s="2" t="inlineStr">
        <is>
          <t>ORD-0099</t>
        </is>
      </c>
      <c r="B100" s="12" t="n"/>
      <c r="C100" s="2">
        <f>TEXT(B100,"yyyy-mm")</f>
        <v/>
      </c>
      <c r="D100" s="2" t="inlineStr">
        <is>
          <t>Customer 30</t>
        </is>
      </c>
      <c r="E100" s="2" t="inlineStr">
        <is>
          <t>Central</t>
        </is>
      </c>
      <c r="F100" s="2" t="inlineStr">
        <is>
          <t>Online</t>
        </is>
      </c>
      <c r="G100" s="2" t="inlineStr">
        <is>
          <t>Jordan Lee</t>
        </is>
      </c>
      <c r="H100" s="2" t="inlineStr">
        <is>
          <t>Rain Jacket</t>
        </is>
      </c>
      <c r="I100" s="2" t="inlineStr">
        <is>
          <t>Outdoor</t>
        </is>
      </c>
      <c r="J100" s="13">
        <f>J100*K100</f>
        <v/>
      </c>
      <c r="K100" s="13">
        <f>M100*L100</f>
        <v/>
      </c>
      <c r="L100" s="13">
        <f>M100-N100</f>
        <v/>
      </c>
      <c r="M100" s="13">
        <f>J100*P100</f>
        <v/>
      </c>
      <c r="N100" s="13">
        <f>O100-Q100</f>
        <v/>
      </c>
      <c r="O100" s="14">
        <f>IFERROR(R100/O100,0)</f>
        <v/>
      </c>
      <c r="P100" s="2" t="inlineStr">
        <is>
          <t>Delivered</t>
        </is>
      </c>
      <c r="Q100" s="2" t="inlineStr">
        <is>
          <t>Apple Pay</t>
        </is>
      </c>
    </row>
    <row r="101">
      <c r="A101" s="2" t="inlineStr">
        <is>
          <t>ORD-0100</t>
        </is>
      </c>
      <c r="B101" s="12" t="n"/>
      <c r="C101" s="2">
        <f>TEXT(B101,"yyyy-mm")</f>
        <v/>
      </c>
      <c r="D101" s="2" t="inlineStr">
        <is>
          <t>Customer 31</t>
        </is>
      </c>
      <c r="E101" s="2" t="inlineStr">
        <is>
          <t>East</t>
        </is>
      </c>
      <c r="F101" s="2" t="inlineStr">
        <is>
          <t>Retail</t>
        </is>
      </c>
      <c r="G101" s="2" t="inlineStr">
        <is>
          <t>Alex Rivera</t>
        </is>
      </c>
      <c r="H101" s="2" t="inlineStr">
        <is>
          <t>Laptop Stand</t>
        </is>
      </c>
      <c r="I101" s="2" t="inlineStr">
        <is>
          <t>Workspace</t>
        </is>
      </c>
      <c r="J101" s="13">
        <f>J101*K101</f>
        <v/>
      </c>
      <c r="K101" s="13">
        <f>M101*L101</f>
        <v/>
      </c>
      <c r="L101" s="13">
        <f>M101-N101</f>
        <v/>
      </c>
      <c r="M101" s="13">
        <f>J101*P101</f>
        <v/>
      </c>
      <c r="N101" s="13">
        <f>O101-Q101</f>
        <v/>
      </c>
      <c r="O101" s="14">
        <f>IFERROR(R101/O101,0)</f>
        <v/>
      </c>
      <c r="P101" s="2" t="inlineStr">
        <is>
          <t>Delivered</t>
        </is>
      </c>
      <c r="Q101" s="2" t="inlineStr">
        <is>
          <t>Invoice</t>
        </is>
      </c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</row>
    <row r="104">
      <c r="A104" s="6" t="inlineStr">
        <is>
          <t>Summary</t>
        </is>
      </c>
      <c r="B104" s="6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</row>
    <row r="105">
      <c r="A105" s="6" t="inlineStr">
        <is>
          <t>Total Orders</t>
        </is>
      </c>
      <c r="B105" s="7">
        <f>COUNTA(A2:A101)</f>
        <v/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</row>
    <row r="106">
      <c r="A106" s="6" t="inlineStr">
        <is>
          <t>Total Net Revenue</t>
        </is>
      </c>
      <c r="B106" s="15">
        <f>SUM(O2:O101)</f>
        <v/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</row>
    <row r="107">
      <c r="A107" s="6" t="inlineStr">
        <is>
          <t>Total Gross Profit</t>
        </is>
      </c>
      <c r="B107" s="15">
        <f>SUM(R2:R101)</f>
        <v/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</row>
    <row r="108">
      <c r="A108" s="6" t="inlineStr">
        <is>
          <t>Average Margin</t>
        </is>
      </c>
      <c r="B108" s="16">
        <f>AVERAGE(S2:S101)</f>
        <v/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</row>
    <row r="109">
      <c r="A109" s="6" t="inlineStr">
        <is>
          <t>Delivered Orders</t>
        </is>
      </c>
      <c r="B109" s="7">
        <f>COUNTIF(T2:T101,"Delivered")</f>
        <v/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</row>
    <row r="110">
      <c r="A110" s="6" t="inlineStr">
        <is>
          <t>Returned Orders</t>
        </is>
      </c>
      <c r="B110" s="7">
        <f>COUNTIF(T2:T101,"Returned")</f>
        <v/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</row>
    <row r="111">
      <c r="A111" s="6" t="inlineStr">
        <is>
          <t>Average Satisfaction</t>
        </is>
      </c>
      <c r="B111" s="17">
        <f>AVERAGE(V2:V101)</f>
        <v/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</row>
  </sheetData>
  <conditionalFormatting sqref="S2:S101">
    <cfRule type="cellIs" priority="3" operator="lessThan" dxfId="2" stopIfTrue="1">
      <formula>0.25</formula>
    </cfRule>
  </conditionalFormatting>
  <conditionalFormatting sqref="T2:T101">
    <cfRule type="cellIs" priority="1" operator="equal" dxfId="1" stopIfTrue="1">
      <formula>"Returned"</formula>
    </cfRule>
    <cfRule type="cellIs" priority="2" operator="equal" dxfId="0" stopIfTrue="1">
      <formula>"Cancelled"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Lijuan LJ12 Hou</dc:creator>
  <dcterms:created xmlns:dcterms="http://purl.org/dc/terms/" xmlns:xsi="http://www.w3.org/2001/XMLSchema-instance" xsi:type="dcterms:W3CDTF">2026-07-26T14:16:29Z</dcterms:created>
  <dcterms:modified xmlns:dcterms="http://purl.org/dc/terms/" xmlns:xsi="http://www.w3.org/2001/XMLSchema-instance" xsi:type="dcterms:W3CDTF">2026-07-29T09:08:58Z</dcterms:modified>
  <cp:lastModifiedBy>Lijuan LJ12 Hou</cp:lastModifiedBy>
</cp:coreProperties>
</file>